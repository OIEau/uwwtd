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esktop\"/>
    </mc:Choice>
  </mc:AlternateContent>
  <bookViews>
    <workbookView xWindow="0" yWindow="0" windowWidth="3792" windowHeight="2880" firstSheet="1" activeTab="2"/>
  </bookViews>
  <sheets>
    <sheet name="Read me" sheetId="3" r:id="rId1"/>
    <sheet name="final graphs" sheetId="2" r:id="rId2"/>
    <sheet name="Register-introduction" sheetId="24" r:id="rId3"/>
    <sheet name="Glossary" sheetId="4" r:id="rId4"/>
    <sheet name="Information on sensitive area" sheetId="5" r:id="rId5"/>
    <sheet name="5(4)-areas" sheetId="21" r:id="rId6"/>
    <sheet name="SA-history" sheetId="6" r:id="rId7"/>
    <sheet name="UWWTP Level" sheetId="7" r:id="rId8"/>
    <sheet name="agglomeration level" sheetId="8" r:id="rId9"/>
    <sheet name="Agglomeration legal compliance" sheetId="23" r:id="rId10"/>
    <sheet name="Summary_legal_compliance" sheetId="9" r:id="rId11"/>
    <sheet name="distance to compliance" sheetId="10" r:id="rId12"/>
    <sheet name="Summary_installation_in_place" sheetId="11" r:id="rId13"/>
    <sheet name="breach_list" sheetId="12" r:id="rId14"/>
    <sheet name="Summary_big_cities" sheetId="13" r:id="rId15"/>
    <sheet name="Nuts2_level analyse" sheetId="14" r:id="rId16"/>
    <sheet name="sewage_sludge_and_re-use" sheetId="15" r:id="rId17"/>
    <sheet name="Graphs" sheetId="16" r:id="rId18"/>
    <sheet name="New agglomerations" sheetId="17" r:id="rId19"/>
    <sheet name="Agglomerationout" sheetId="18" r:id="rId20"/>
    <sheet name="New treatment plants" sheetId="19" r:id="rId21"/>
    <sheet name="UWWTPsout" sheetId="20" r:id="rId2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8" i="2" l="1"/>
  <c r="C338" i="2"/>
  <c r="A338" i="2"/>
  <c r="J338" i="2" s="1"/>
  <c r="F337" i="2"/>
  <c r="E337" i="2"/>
  <c r="C337" i="2"/>
  <c r="A337" i="2"/>
  <c r="D337" i="2" s="1"/>
  <c r="H336" i="2"/>
  <c r="G336" i="2"/>
  <c r="E336" i="2"/>
  <c r="C336" i="2"/>
  <c r="A336" i="2"/>
  <c r="F336" i="2" s="1"/>
  <c r="A335" i="2"/>
  <c r="D334" i="2"/>
  <c r="C334" i="2"/>
  <c r="A334" i="2"/>
  <c r="J334" i="2" s="1"/>
  <c r="F333" i="2"/>
  <c r="E333" i="2"/>
  <c r="C333" i="2"/>
  <c r="A333" i="2"/>
  <c r="D333" i="2" s="1"/>
  <c r="H332" i="2"/>
  <c r="G332" i="2"/>
  <c r="E332" i="2"/>
  <c r="C332" i="2"/>
  <c r="A332" i="2"/>
  <c r="F332" i="2" s="1"/>
  <c r="B331" i="2"/>
  <c r="A331" i="2"/>
  <c r="J331" i="2" s="1"/>
  <c r="A330" i="2"/>
  <c r="F329" i="2"/>
  <c r="E329" i="2"/>
  <c r="C329" i="2"/>
  <c r="A329" i="2"/>
  <c r="D329" i="2" s="1"/>
  <c r="H328" i="2"/>
  <c r="G328" i="2"/>
  <c r="E328" i="2"/>
  <c r="C328" i="2"/>
  <c r="A328" i="2"/>
  <c r="F328" i="2" s="1"/>
  <c r="I327" i="2"/>
  <c r="G327" i="2"/>
  <c r="A327" i="2"/>
  <c r="J327" i="2" s="1"/>
  <c r="I326" i="2"/>
  <c r="D326" i="2"/>
  <c r="A326" i="2"/>
  <c r="F325" i="2"/>
  <c r="E325" i="2"/>
  <c r="C325" i="2"/>
  <c r="A325" i="2"/>
  <c r="D325" i="2" s="1"/>
  <c r="H324" i="2"/>
  <c r="G324" i="2"/>
  <c r="E324" i="2"/>
  <c r="C324" i="2"/>
  <c r="A324" i="2"/>
  <c r="F324" i="2" s="1"/>
  <c r="A323" i="2"/>
  <c r="C322" i="2"/>
  <c r="A322" i="2"/>
  <c r="I322" i="2" s="1"/>
  <c r="F321" i="2"/>
  <c r="E321" i="2"/>
  <c r="C321" i="2"/>
  <c r="A321" i="2"/>
  <c r="D321" i="2" s="1"/>
  <c r="H320" i="2"/>
  <c r="G320" i="2"/>
  <c r="E320" i="2"/>
  <c r="C320" i="2"/>
  <c r="A320" i="2"/>
  <c r="F320" i="2" s="1"/>
  <c r="I319" i="2"/>
  <c r="G319" i="2"/>
  <c r="A319" i="2"/>
  <c r="I318" i="2"/>
  <c r="D318" i="2"/>
  <c r="A318" i="2"/>
  <c r="F317" i="2"/>
  <c r="E317" i="2"/>
  <c r="C317" i="2"/>
  <c r="A317" i="2"/>
  <c r="D317" i="2" s="1"/>
  <c r="H316" i="2"/>
  <c r="G316" i="2"/>
  <c r="E316" i="2"/>
  <c r="C316" i="2"/>
  <c r="A316" i="2"/>
  <c r="F316" i="2" s="1"/>
  <c r="B315" i="2"/>
  <c r="A315" i="2"/>
  <c r="J315" i="2" s="1"/>
  <c r="A314" i="2"/>
  <c r="F313" i="2"/>
  <c r="E313" i="2"/>
  <c r="C313" i="2"/>
  <c r="A313" i="2"/>
  <c r="D313" i="2" s="1"/>
  <c r="H312" i="2"/>
  <c r="G312" i="2"/>
  <c r="E312" i="2"/>
  <c r="C312" i="2"/>
  <c r="A312" i="2"/>
  <c r="F312" i="2" s="1"/>
  <c r="I311" i="2"/>
  <c r="G311" i="2"/>
  <c r="A311" i="2"/>
  <c r="J311" i="2" s="1"/>
  <c r="I310" i="2"/>
  <c r="D310" i="2"/>
  <c r="A310" i="2"/>
  <c r="F309" i="2"/>
  <c r="E309" i="2"/>
  <c r="C309" i="2"/>
  <c r="A309" i="2"/>
  <c r="D309" i="2" s="1"/>
  <c r="H308" i="2"/>
  <c r="G308" i="2"/>
  <c r="E308" i="2"/>
  <c r="C308" i="2"/>
  <c r="A308" i="2"/>
  <c r="F308" i="2" s="1"/>
  <c r="J307" i="2"/>
  <c r="G307" i="2"/>
  <c r="E307" i="2"/>
  <c r="B307" i="2"/>
  <c r="A307" i="2"/>
  <c r="G306" i="2"/>
  <c r="D306" i="2"/>
  <c r="A306" i="2"/>
  <c r="I306" i="2" s="1"/>
  <c r="A305" i="2"/>
  <c r="H304" i="2"/>
  <c r="G304" i="2"/>
  <c r="E304" i="2"/>
  <c r="C304" i="2"/>
  <c r="A304" i="2"/>
  <c r="F304" i="2" s="1"/>
  <c r="G303" i="2"/>
  <c r="E303" i="2"/>
  <c r="A303" i="2"/>
  <c r="J303" i="2" s="1"/>
  <c r="A302" i="2"/>
  <c r="A301" i="2"/>
  <c r="H300" i="2"/>
  <c r="G300" i="2"/>
  <c r="E300" i="2"/>
  <c r="C300" i="2"/>
  <c r="A300" i="2"/>
  <c r="F300" i="2" s="1"/>
  <c r="A299" i="2"/>
  <c r="A298" i="2"/>
  <c r="I297" i="2"/>
  <c r="F297" i="2"/>
  <c r="E297" i="2"/>
  <c r="C297" i="2"/>
  <c r="A297" i="2"/>
  <c r="H296" i="2"/>
  <c r="G296" i="2"/>
  <c r="E296" i="2"/>
  <c r="C296" i="2"/>
  <c r="A296" i="2"/>
  <c r="F296" i="2" s="1"/>
  <c r="J295" i="2"/>
  <c r="A295" i="2"/>
  <c r="I294" i="2"/>
  <c r="G294" i="2"/>
  <c r="D294" i="2"/>
  <c r="C294" i="2"/>
  <c r="A294" i="2"/>
  <c r="F293" i="2"/>
  <c r="E293" i="2"/>
  <c r="C293" i="2"/>
  <c r="A293" i="2"/>
  <c r="H292" i="2"/>
  <c r="G292" i="2"/>
  <c r="E292" i="2"/>
  <c r="C292" i="2"/>
  <c r="A292" i="2"/>
  <c r="F292" i="2" s="1"/>
  <c r="J291" i="2"/>
  <c r="I291" i="2"/>
  <c r="G291" i="2"/>
  <c r="E291" i="2"/>
  <c r="B291" i="2"/>
  <c r="A291" i="2"/>
  <c r="G290" i="2"/>
  <c r="D290" i="2"/>
  <c r="C290" i="2"/>
  <c r="A290" i="2"/>
  <c r="I289" i="2"/>
  <c r="F289" i="2"/>
  <c r="A289" i="2"/>
  <c r="H288" i="2"/>
  <c r="G288" i="2"/>
  <c r="E288" i="2"/>
  <c r="C288" i="2"/>
  <c r="A288" i="2"/>
  <c r="F288" i="2" s="1"/>
  <c r="A287" i="2"/>
  <c r="I286" i="2"/>
  <c r="D286" i="2"/>
  <c r="C286" i="2"/>
  <c r="A286" i="2"/>
  <c r="G285" i="2"/>
  <c r="F285" i="2"/>
  <c r="A285" i="2"/>
  <c r="I285" i="2" s="1"/>
  <c r="I284" i="2"/>
  <c r="H284" i="2"/>
  <c r="G284" i="2"/>
  <c r="E284" i="2"/>
  <c r="C284" i="2"/>
  <c r="A284" i="2"/>
  <c r="A283" i="2"/>
  <c r="E282" i="2"/>
  <c r="D282" i="2"/>
  <c r="C282" i="2"/>
  <c r="A282" i="2"/>
  <c r="I281" i="2"/>
  <c r="A281" i="2"/>
  <c r="G281" i="2" s="1"/>
  <c r="I280" i="2"/>
  <c r="H280" i="2"/>
  <c r="G280" i="2"/>
  <c r="E280" i="2"/>
  <c r="A280" i="2"/>
  <c r="J279" i="2"/>
  <c r="I279" i="2"/>
  <c r="G279" i="2"/>
  <c r="E279" i="2"/>
  <c r="C279" i="2"/>
  <c r="B279" i="2"/>
  <c r="A279" i="2"/>
  <c r="A278" i="2"/>
  <c r="I277" i="2"/>
  <c r="E277" i="2"/>
  <c r="C277" i="2"/>
  <c r="A277" i="2"/>
  <c r="H276" i="2"/>
  <c r="G276" i="2"/>
  <c r="A276" i="2"/>
  <c r="I276" i="2" s="1"/>
  <c r="J275" i="2"/>
  <c r="I275" i="2"/>
  <c r="G275" i="2"/>
  <c r="E275" i="2"/>
  <c r="C275" i="2"/>
  <c r="A275" i="2"/>
  <c r="A274" i="2"/>
  <c r="F273" i="2"/>
  <c r="E273" i="2"/>
  <c r="C273" i="2"/>
  <c r="A273" i="2"/>
  <c r="I272" i="2"/>
  <c r="A272" i="2"/>
  <c r="G271" i="2"/>
  <c r="E271" i="2"/>
  <c r="A271" i="2"/>
  <c r="J271" i="2" s="1"/>
  <c r="J270" i="2"/>
  <c r="G270" i="2"/>
  <c r="F270" i="2"/>
  <c r="C270" i="2"/>
  <c r="B270" i="2"/>
  <c r="A270" i="2"/>
  <c r="E270" i="2" s="1"/>
  <c r="D269" i="2"/>
  <c r="A269" i="2"/>
  <c r="I269" i="2" s="1"/>
  <c r="J268" i="2"/>
  <c r="H268" i="2"/>
  <c r="G268" i="2"/>
  <c r="F268" i="2"/>
  <c r="E268" i="2"/>
  <c r="D268" i="2"/>
  <c r="C268" i="2"/>
  <c r="B268" i="2"/>
  <c r="A268" i="2"/>
  <c r="I268" i="2" s="1"/>
  <c r="H267" i="2"/>
  <c r="E267" i="2"/>
  <c r="D267" i="2"/>
  <c r="A267" i="2"/>
  <c r="C267" i="2" s="1"/>
  <c r="J266" i="2"/>
  <c r="G266" i="2"/>
  <c r="F266" i="2"/>
  <c r="C266" i="2"/>
  <c r="B266" i="2"/>
  <c r="A266" i="2"/>
  <c r="E266" i="2" s="1"/>
  <c r="I265" i="2"/>
  <c r="A265" i="2"/>
  <c r="J264" i="2"/>
  <c r="H264" i="2"/>
  <c r="G264" i="2"/>
  <c r="F264" i="2"/>
  <c r="E264" i="2"/>
  <c r="D264" i="2"/>
  <c r="C264" i="2"/>
  <c r="B264" i="2"/>
  <c r="A264" i="2"/>
  <c r="I264" i="2" s="1"/>
  <c r="H263" i="2"/>
  <c r="E263" i="2"/>
  <c r="D263" i="2"/>
  <c r="A263" i="2"/>
  <c r="C263" i="2" s="1"/>
  <c r="J262" i="2"/>
  <c r="G262" i="2"/>
  <c r="F262" i="2"/>
  <c r="C262" i="2"/>
  <c r="B262" i="2"/>
  <c r="A262" i="2"/>
  <c r="E262" i="2" s="1"/>
  <c r="H261" i="2"/>
  <c r="A261" i="2"/>
  <c r="I261" i="2" s="1"/>
  <c r="J260" i="2"/>
  <c r="H260" i="2"/>
  <c r="G260" i="2"/>
  <c r="F260" i="2"/>
  <c r="E260" i="2"/>
  <c r="D260" i="2"/>
  <c r="C260" i="2"/>
  <c r="B260" i="2"/>
  <c r="A260" i="2"/>
  <c r="I260" i="2" s="1"/>
  <c r="H259" i="2"/>
  <c r="E259" i="2"/>
  <c r="D259" i="2"/>
  <c r="A259" i="2"/>
  <c r="C259" i="2" s="1"/>
  <c r="J258" i="2"/>
  <c r="G258" i="2"/>
  <c r="F258" i="2"/>
  <c r="C258" i="2"/>
  <c r="B258" i="2"/>
  <c r="A258" i="2"/>
  <c r="E258" i="2" s="1"/>
  <c r="I257" i="2"/>
  <c r="H257" i="2"/>
  <c r="D257" i="2"/>
  <c r="A257" i="2"/>
  <c r="J256" i="2"/>
  <c r="H256" i="2"/>
  <c r="G256" i="2"/>
  <c r="F256" i="2"/>
  <c r="E256" i="2"/>
  <c r="D256" i="2"/>
  <c r="C256" i="2"/>
  <c r="B256" i="2"/>
  <c r="A256" i="2"/>
  <c r="I256" i="2" s="1"/>
  <c r="H255" i="2"/>
  <c r="E255" i="2"/>
  <c r="D255" i="2"/>
  <c r="A255" i="2"/>
  <c r="C255" i="2" s="1"/>
  <c r="J254" i="2"/>
  <c r="G254" i="2"/>
  <c r="F254" i="2"/>
  <c r="C254" i="2"/>
  <c r="B254" i="2"/>
  <c r="A254" i="2"/>
  <c r="E254" i="2" s="1"/>
  <c r="I253" i="2"/>
  <c r="A253" i="2"/>
  <c r="J252" i="2"/>
  <c r="H252" i="2"/>
  <c r="G252" i="2"/>
  <c r="F252" i="2"/>
  <c r="E252" i="2"/>
  <c r="D252" i="2"/>
  <c r="C252" i="2"/>
  <c r="B252" i="2"/>
  <c r="A252" i="2"/>
  <c r="I252" i="2" s="1"/>
  <c r="H251" i="2"/>
  <c r="E251" i="2"/>
  <c r="D251" i="2"/>
  <c r="A251" i="2"/>
  <c r="C251" i="2" s="1"/>
  <c r="J250" i="2"/>
  <c r="G250" i="2"/>
  <c r="F250" i="2"/>
  <c r="C250" i="2"/>
  <c r="B250" i="2"/>
  <c r="A250" i="2"/>
  <c r="E250" i="2" s="1"/>
  <c r="I249" i="2"/>
  <c r="H249" i="2"/>
  <c r="A249" i="2"/>
  <c r="J248" i="2"/>
  <c r="H248" i="2"/>
  <c r="G248" i="2"/>
  <c r="F248" i="2"/>
  <c r="E248" i="2"/>
  <c r="D248" i="2"/>
  <c r="C248" i="2"/>
  <c r="B248" i="2"/>
  <c r="A248" i="2"/>
  <c r="I248" i="2" s="1"/>
  <c r="H247" i="2"/>
  <c r="E247" i="2"/>
  <c r="D247" i="2"/>
  <c r="A247" i="2"/>
  <c r="C247" i="2" s="1"/>
  <c r="J246" i="2"/>
  <c r="G246" i="2"/>
  <c r="F246" i="2"/>
  <c r="C246" i="2"/>
  <c r="B246" i="2"/>
  <c r="A246" i="2"/>
  <c r="E246" i="2" s="1"/>
  <c r="I245" i="2"/>
  <c r="H245" i="2"/>
  <c r="E245" i="2"/>
  <c r="A245" i="2"/>
  <c r="J244" i="2"/>
  <c r="H244" i="2"/>
  <c r="G244" i="2"/>
  <c r="F244" i="2"/>
  <c r="E244" i="2"/>
  <c r="D244" i="2"/>
  <c r="C244" i="2"/>
  <c r="B244" i="2"/>
  <c r="A244" i="2"/>
  <c r="I244" i="2" s="1"/>
  <c r="E243" i="2"/>
  <c r="A243" i="2"/>
  <c r="J242" i="2"/>
  <c r="G242" i="2"/>
  <c r="F242" i="2"/>
  <c r="C242" i="2"/>
  <c r="B242" i="2"/>
  <c r="A242" i="2"/>
  <c r="E242" i="2" s="1"/>
  <c r="H241" i="2"/>
  <c r="A241" i="2"/>
  <c r="J240" i="2"/>
  <c r="H240" i="2"/>
  <c r="G240" i="2"/>
  <c r="F240" i="2"/>
  <c r="E240" i="2"/>
  <c r="D240" i="2"/>
  <c r="C240" i="2"/>
  <c r="B240" i="2"/>
  <c r="A240" i="2"/>
  <c r="I240" i="2" s="1"/>
  <c r="I239" i="2"/>
  <c r="H239" i="2"/>
  <c r="G239" i="2"/>
  <c r="E239" i="2"/>
  <c r="A239" i="2"/>
  <c r="J238" i="2"/>
  <c r="G238" i="2"/>
  <c r="F238" i="2"/>
  <c r="C238" i="2"/>
  <c r="B238" i="2"/>
  <c r="A238" i="2"/>
  <c r="I238" i="2" s="1"/>
  <c r="H237" i="2"/>
  <c r="C237" i="2"/>
  <c r="A237" i="2"/>
  <c r="I237" i="2" s="1"/>
  <c r="J236" i="2"/>
  <c r="H236" i="2"/>
  <c r="G236" i="2"/>
  <c r="F236" i="2"/>
  <c r="E236" i="2"/>
  <c r="D236" i="2"/>
  <c r="C236" i="2"/>
  <c r="B236" i="2"/>
  <c r="A236" i="2"/>
  <c r="I236" i="2" s="1"/>
  <c r="G235" i="2"/>
  <c r="A235" i="2"/>
  <c r="J234" i="2"/>
  <c r="I234" i="2"/>
  <c r="C234" i="2"/>
  <c r="A234" i="2"/>
  <c r="G234" i="2" s="1"/>
  <c r="E233" i="2"/>
  <c r="A233" i="2"/>
  <c r="I233" i="2" s="1"/>
  <c r="J232" i="2"/>
  <c r="H232" i="2"/>
  <c r="G232" i="2"/>
  <c r="F232" i="2"/>
  <c r="E232" i="2"/>
  <c r="D232" i="2"/>
  <c r="C232" i="2"/>
  <c r="B232" i="2"/>
  <c r="A232" i="2"/>
  <c r="I232" i="2" s="1"/>
  <c r="I231" i="2"/>
  <c r="H231" i="2"/>
  <c r="G231" i="2"/>
  <c r="E231" i="2"/>
  <c r="A231" i="2"/>
  <c r="J230" i="2"/>
  <c r="G230" i="2"/>
  <c r="F230" i="2"/>
  <c r="C230" i="2"/>
  <c r="B230" i="2"/>
  <c r="A230" i="2"/>
  <c r="I230" i="2" s="1"/>
  <c r="A229" i="2"/>
  <c r="J228" i="2"/>
  <c r="G228" i="2"/>
  <c r="F228" i="2"/>
  <c r="E228" i="2"/>
  <c r="D228" i="2"/>
  <c r="C228" i="2"/>
  <c r="B228" i="2"/>
  <c r="A228" i="2"/>
  <c r="I228" i="2" s="1"/>
  <c r="I227" i="2"/>
  <c r="E227" i="2"/>
  <c r="A227" i="2"/>
  <c r="J226" i="2"/>
  <c r="I226" i="2"/>
  <c r="G226" i="2"/>
  <c r="F226" i="2"/>
  <c r="C226" i="2"/>
  <c r="B226" i="2"/>
  <c r="A226" i="2"/>
  <c r="I225" i="2"/>
  <c r="H225" i="2"/>
  <c r="E225" i="2"/>
  <c r="D225" i="2"/>
  <c r="A225" i="2"/>
  <c r="J224" i="2"/>
  <c r="G224" i="2"/>
  <c r="F224" i="2"/>
  <c r="E224" i="2"/>
  <c r="C224" i="2"/>
  <c r="B224" i="2"/>
  <c r="A224" i="2"/>
  <c r="I224" i="2" s="1"/>
  <c r="E223" i="2"/>
  <c r="D223" i="2"/>
  <c r="A223" i="2"/>
  <c r="H223" i="2" s="1"/>
  <c r="F222" i="2"/>
  <c r="B222" i="2"/>
  <c r="A222" i="2"/>
  <c r="I221" i="2"/>
  <c r="H221" i="2"/>
  <c r="E221" i="2"/>
  <c r="D221" i="2"/>
  <c r="C221" i="2"/>
  <c r="A221" i="2"/>
  <c r="J220" i="2"/>
  <c r="G220" i="2"/>
  <c r="F220" i="2"/>
  <c r="E220" i="2"/>
  <c r="C220" i="2"/>
  <c r="B220" i="2"/>
  <c r="A220" i="2"/>
  <c r="I220" i="2" s="1"/>
  <c r="H219" i="2"/>
  <c r="G219" i="2"/>
  <c r="E219" i="2"/>
  <c r="D219" i="2"/>
  <c r="A219" i="2"/>
  <c r="I219" i="2" s="1"/>
  <c r="I218" i="2"/>
  <c r="A218" i="2"/>
  <c r="A217" i="2"/>
  <c r="J216" i="2"/>
  <c r="G216" i="2"/>
  <c r="F216" i="2"/>
  <c r="E216" i="2"/>
  <c r="C216" i="2"/>
  <c r="B216" i="2"/>
  <c r="A216" i="2"/>
  <c r="I216" i="2" s="1"/>
  <c r="I215" i="2"/>
  <c r="H215" i="2"/>
  <c r="G215" i="2"/>
  <c r="A215" i="2"/>
  <c r="I214" i="2"/>
  <c r="G214" i="2"/>
  <c r="F214" i="2"/>
  <c r="C214" i="2"/>
  <c r="A214" i="2"/>
  <c r="J214" i="2" s="1"/>
  <c r="I213" i="2"/>
  <c r="A213" i="2"/>
  <c r="C212" i="2"/>
  <c r="B212" i="2"/>
  <c r="A212" i="2"/>
  <c r="G212" i="2" s="1"/>
  <c r="B200" i="2"/>
  <c r="A200" i="2"/>
  <c r="K200" i="2" s="1"/>
  <c r="B199" i="2"/>
  <c r="A199" i="2"/>
  <c r="M199" i="2" s="1"/>
  <c r="C198" i="2"/>
  <c r="B198" i="2"/>
  <c r="A198" i="2"/>
  <c r="K198" i="2" s="1"/>
  <c r="F197" i="2"/>
  <c r="E197" i="2"/>
  <c r="B197" i="2"/>
  <c r="A197" i="2"/>
  <c r="L197" i="2" s="1"/>
  <c r="M196" i="2"/>
  <c r="L196" i="2"/>
  <c r="K196" i="2"/>
  <c r="J196" i="2"/>
  <c r="H196" i="2"/>
  <c r="G196" i="2"/>
  <c r="E196" i="2"/>
  <c r="D196" i="2"/>
  <c r="C196" i="2"/>
  <c r="B196" i="2"/>
  <c r="A196" i="2"/>
  <c r="I196" i="2" s="1"/>
  <c r="B195" i="2"/>
  <c r="A195" i="2"/>
  <c r="B194" i="2"/>
  <c r="A194" i="2"/>
  <c r="K194" i="2" s="1"/>
  <c r="N193" i="2"/>
  <c r="L193" i="2"/>
  <c r="I193" i="2"/>
  <c r="G193" i="2"/>
  <c r="F193" i="2"/>
  <c r="E193" i="2"/>
  <c r="D193" i="2"/>
  <c r="B193" i="2"/>
  <c r="A193" i="2"/>
  <c r="M192" i="2"/>
  <c r="L192" i="2"/>
  <c r="K192" i="2"/>
  <c r="J192" i="2"/>
  <c r="H192" i="2"/>
  <c r="G192" i="2"/>
  <c r="E192" i="2"/>
  <c r="D192" i="2"/>
  <c r="C192" i="2"/>
  <c r="B192" i="2"/>
  <c r="A192" i="2"/>
  <c r="I192" i="2" s="1"/>
  <c r="K191" i="2"/>
  <c r="J191" i="2"/>
  <c r="I191" i="2"/>
  <c r="E191" i="2"/>
  <c r="C191" i="2"/>
  <c r="B191" i="2"/>
  <c r="A191" i="2"/>
  <c r="B190" i="2"/>
  <c r="A190" i="2"/>
  <c r="N190" i="2" s="1"/>
  <c r="N189" i="2"/>
  <c r="G189" i="2"/>
  <c r="D189" i="2"/>
  <c r="B189" i="2"/>
  <c r="A189" i="2"/>
  <c r="L189" i="2" s="1"/>
  <c r="M188" i="2"/>
  <c r="L188" i="2"/>
  <c r="K188" i="2"/>
  <c r="J188" i="2"/>
  <c r="H188" i="2"/>
  <c r="G188" i="2"/>
  <c r="E188" i="2"/>
  <c r="D188" i="2"/>
  <c r="C188" i="2"/>
  <c r="B188" i="2"/>
  <c r="A188" i="2"/>
  <c r="I188" i="2" s="1"/>
  <c r="J187" i="2"/>
  <c r="I187" i="2"/>
  <c r="H187" i="2"/>
  <c r="C187" i="2"/>
  <c r="B187" i="2"/>
  <c r="A187" i="2"/>
  <c r="K187" i="2" s="1"/>
  <c r="K186" i="2"/>
  <c r="I186" i="2"/>
  <c r="H186" i="2"/>
  <c r="F186" i="2"/>
  <c r="C186" i="2"/>
  <c r="B186" i="2"/>
  <c r="A186" i="2"/>
  <c r="N185" i="2"/>
  <c r="B185" i="2"/>
  <c r="A185" i="2"/>
  <c r="L185" i="2" s="1"/>
  <c r="M184" i="2"/>
  <c r="L184" i="2"/>
  <c r="K184" i="2"/>
  <c r="J184" i="2"/>
  <c r="H184" i="2"/>
  <c r="G184" i="2"/>
  <c r="E184" i="2"/>
  <c r="D184" i="2"/>
  <c r="C184" i="2"/>
  <c r="B184" i="2"/>
  <c r="A184" i="2"/>
  <c r="I184" i="2" s="1"/>
  <c r="I183" i="2"/>
  <c r="H183" i="2"/>
  <c r="B183" i="2"/>
  <c r="A183" i="2"/>
  <c r="K183" i="2" s="1"/>
  <c r="I182" i="2"/>
  <c r="H182" i="2"/>
  <c r="G182" i="2"/>
  <c r="C182" i="2"/>
  <c r="B182" i="2"/>
  <c r="A182" i="2"/>
  <c r="K182" i="2" s="1"/>
  <c r="B181" i="2"/>
  <c r="A181" i="2"/>
  <c r="M180" i="2"/>
  <c r="L180" i="2"/>
  <c r="K180" i="2"/>
  <c r="J180" i="2"/>
  <c r="H180" i="2"/>
  <c r="G180" i="2"/>
  <c r="E180" i="2"/>
  <c r="D180" i="2"/>
  <c r="C180" i="2"/>
  <c r="B180" i="2"/>
  <c r="A180" i="2"/>
  <c r="I180" i="2" s="1"/>
  <c r="K179" i="2"/>
  <c r="H179" i="2"/>
  <c r="E179" i="2"/>
  <c r="C179" i="2"/>
  <c r="B179" i="2"/>
  <c r="A179" i="2"/>
  <c r="J179" i="2" s="1"/>
  <c r="H178" i="2"/>
  <c r="G178" i="2"/>
  <c r="B178" i="2"/>
  <c r="A178" i="2"/>
  <c r="K178" i="2" s="1"/>
  <c r="N177" i="2"/>
  <c r="L177" i="2"/>
  <c r="I177" i="2"/>
  <c r="G177" i="2"/>
  <c r="E177" i="2"/>
  <c r="D177" i="2"/>
  <c r="B177" i="2"/>
  <c r="A177" i="2"/>
  <c r="M176" i="2"/>
  <c r="L176" i="2"/>
  <c r="K176" i="2"/>
  <c r="J176" i="2"/>
  <c r="H176" i="2"/>
  <c r="G176" i="2"/>
  <c r="E176" i="2"/>
  <c r="D176" i="2"/>
  <c r="C176" i="2"/>
  <c r="B176" i="2"/>
  <c r="A176" i="2"/>
  <c r="I176" i="2" s="1"/>
  <c r="K175" i="2"/>
  <c r="J175" i="2"/>
  <c r="I175" i="2"/>
  <c r="H175" i="2"/>
  <c r="E175" i="2"/>
  <c r="C175" i="2"/>
  <c r="B175" i="2"/>
  <c r="A175" i="2"/>
  <c r="K174" i="2"/>
  <c r="G174" i="2"/>
  <c r="F174" i="2"/>
  <c r="C174" i="2"/>
  <c r="B174" i="2"/>
  <c r="A174" i="2"/>
  <c r="I174" i="2" s="1"/>
  <c r="N173" i="2"/>
  <c r="I173" i="2"/>
  <c r="G173" i="2"/>
  <c r="F173" i="2"/>
  <c r="D173" i="2"/>
  <c r="B173" i="2"/>
  <c r="A173" i="2"/>
  <c r="L173" i="2" s="1"/>
  <c r="M172" i="2"/>
  <c r="L172" i="2"/>
  <c r="K172" i="2"/>
  <c r="J172" i="2"/>
  <c r="H172" i="2"/>
  <c r="G172" i="2"/>
  <c r="E172" i="2"/>
  <c r="D172" i="2"/>
  <c r="C172" i="2"/>
  <c r="B172" i="2"/>
  <c r="A172" i="2"/>
  <c r="I172" i="2" s="1"/>
  <c r="I171" i="2"/>
  <c r="C171" i="2"/>
  <c r="B171" i="2"/>
  <c r="A171" i="2"/>
  <c r="K171" i="2" s="1"/>
  <c r="K170" i="2"/>
  <c r="I170" i="2"/>
  <c r="H170" i="2"/>
  <c r="G170" i="2"/>
  <c r="F170" i="2"/>
  <c r="C170" i="2"/>
  <c r="B170" i="2"/>
  <c r="A170" i="2"/>
  <c r="G169" i="2"/>
  <c r="F169" i="2"/>
  <c r="B169" i="2"/>
  <c r="A169" i="2"/>
  <c r="L169" i="2" s="1"/>
  <c r="M168" i="2"/>
  <c r="L168" i="2"/>
  <c r="K168" i="2"/>
  <c r="J168" i="2"/>
  <c r="H168" i="2"/>
  <c r="G168" i="2"/>
  <c r="E168" i="2"/>
  <c r="D168" i="2"/>
  <c r="C168" i="2"/>
  <c r="B168" i="2"/>
  <c r="A168" i="2"/>
  <c r="I168" i="2" s="1"/>
  <c r="N167" i="2"/>
  <c r="M167" i="2"/>
  <c r="J167" i="2"/>
  <c r="I167" i="2"/>
  <c r="H167" i="2"/>
  <c r="F167" i="2"/>
  <c r="E167" i="2"/>
  <c r="C167" i="2"/>
  <c r="B167" i="2"/>
  <c r="A167" i="2"/>
  <c r="N166" i="2"/>
  <c r="L166" i="2"/>
  <c r="H166" i="2"/>
  <c r="G166" i="2"/>
  <c r="F166" i="2"/>
  <c r="C166" i="2"/>
  <c r="B166" i="2"/>
  <c r="A166" i="2"/>
  <c r="I166" i="2" s="1"/>
  <c r="M165" i="2"/>
  <c r="B165" i="2"/>
  <c r="A165" i="2"/>
  <c r="J165" i="2" s="1"/>
  <c r="M164" i="2"/>
  <c r="L164" i="2"/>
  <c r="K164" i="2"/>
  <c r="J164" i="2"/>
  <c r="H164" i="2"/>
  <c r="G164" i="2"/>
  <c r="E164" i="2"/>
  <c r="D164" i="2"/>
  <c r="C164" i="2"/>
  <c r="B164" i="2"/>
  <c r="A164" i="2"/>
  <c r="I164" i="2" s="1"/>
  <c r="N163" i="2"/>
  <c r="M163" i="2"/>
  <c r="J163" i="2"/>
  <c r="I163" i="2"/>
  <c r="H163" i="2"/>
  <c r="E163" i="2"/>
  <c r="C163" i="2"/>
  <c r="B163" i="2"/>
  <c r="A163" i="2"/>
  <c r="N162" i="2"/>
  <c r="L162" i="2"/>
  <c r="G162" i="2"/>
  <c r="C162" i="2"/>
  <c r="B162" i="2"/>
  <c r="A162" i="2"/>
  <c r="I162" i="2" s="1"/>
  <c r="G161" i="2"/>
  <c r="F161" i="2"/>
  <c r="B161" i="2"/>
  <c r="A161" i="2"/>
  <c r="M161" i="2" s="1"/>
  <c r="M160" i="2"/>
  <c r="L160" i="2"/>
  <c r="K160" i="2"/>
  <c r="J160" i="2"/>
  <c r="H160" i="2"/>
  <c r="G160" i="2"/>
  <c r="E160" i="2"/>
  <c r="D160" i="2"/>
  <c r="C160" i="2"/>
  <c r="B160" i="2"/>
  <c r="A160" i="2"/>
  <c r="I160" i="2" s="1"/>
  <c r="N159" i="2"/>
  <c r="M159" i="2"/>
  <c r="J159" i="2"/>
  <c r="I159" i="2"/>
  <c r="H159" i="2"/>
  <c r="F159" i="2"/>
  <c r="E159" i="2"/>
  <c r="C159" i="2"/>
  <c r="B159" i="2"/>
  <c r="A159" i="2"/>
  <c r="B158" i="2"/>
  <c r="A158" i="2"/>
  <c r="M158" i="2" s="1"/>
  <c r="N157" i="2"/>
  <c r="M157" i="2"/>
  <c r="K157" i="2"/>
  <c r="J157" i="2"/>
  <c r="G157" i="2"/>
  <c r="F157" i="2"/>
  <c r="E157" i="2"/>
  <c r="C157" i="2"/>
  <c r="B157" i="2"/>
  <c r="A157" i="2"/>
  <c r="L157" i="2" s="1"/>
  <c r="E152" i="2"/>
  <c r="D152" i="2"/>
  <c r="C152" i="2"/>
  <c r="B152" i="2"/>
  <c r="E151" i="2"/>
  <c r="D151" i="2"/>
  <c r="C151" i="2"/>
  <c r="B151" i="2"/>
  <c r="E149" i="2"/>
  <c r="D149" i="2"/>
  <c r="C149" i="2"/>
  <c r="B149" i="2"/>
  <c r="E148" i="2"/>
  <c r="D148" i="2"/>
  <c r="C148" i="2"/>
  <c r="B148" i="2"/>
  <c r="E146" i="2"/>
  <c r="D146" i="2"/>
  <c r="C146" i="2"/>
  <c r="B146" i="2"/>
  <c r="E145" i="2"/>
  <c r="D145" i="2"/>
  <c r="C145" i="2"/>
  <c r="B145" i="2"/>
  <c r="D125" i="2"/>
  <c r="C125" i="2"/>
  <c r="B125" i="2"/>
  <c r="D124" i="2"/>
  <c r="C124" i="2"/>
  <c r="B124" i="2"/>
  <c r="D123" i="2"/>
  <c r="C123" i="2"/>
  <c r="B123" i="2"/>
  <c r="D122" i="2"/>
  <c r="C122" i="2"/>
  <c r="B122" i="2"/>
  <c r="D121" i="2"/>
  <c r="C121" i="2"/>
  <c r="B121" i="2"/>
  <c r="D120" i="2"/>
  <c r="C120" i="2"/>
  <c r="B120" i="2"/>
  <c r="C108" i="2"/>
  <c r="B108" i="2"/>
  <c r="C107" i="2"/>
  <c r="B107" i="2"/>
  <c r="C106" i="2"/>
  <c r="B106" i="2"/>
  <c r="C105" i="2"/>
  <c r="B105" i="2"/>
  <c r="C104" i="2"/>
  <c r="B104" i="2"/>
  <c r="C103" i="2"/>
  <c r="B103" i="2"/>
  <c r="A102" i="2"/>
  <c r="G93" i="2"/>
  <c r="D93" i="2"/>
  <c r="G92" i="2"/>
  <c r="D92" i="2"/>
  <c r="G91" i="2"/>
  <c r="D91" i="2"/>
  <c r="G89" i="2"/>
  <c r="D89" i="2"/>
  <c r="G88" i="2"/>
  <c r="D88" i="2"/>
  <c r="G87" i="2"/>
  <c r="D87" i="2"/>
  <c r="G85" i="2"/>
  <c r="D85" i="2"/>
  <c r="G84" i="2"/>
  <c r="D84" i="2"/>
  <c r="G83" i="2"/>
  <c r="D83" i="2"/>
  <c r="E75" i="2"/>
  <c r="D75" i="2"/>
  <c r="C75" i="2"/>
  <c r="E74" i="2"/>
  <c r="D74" i="2"/>
  <c r="C74" i="2"/>
  <c r="E73" i="2"/>
  <c r="D73" i="2"/>
  <c r="C73" i="2"/>
  <c r="E71" i="2"/>
  <c r="D71" i="2"/>
  <c r="C71" i="2"/>
  <c r="E70" i="2"/>
  <c r="D70" i="2"/>
  <c r="C70" i="2"/>
  <c r="E69" i="2"/>
  <c r="D69" i="2"/>
  <c r="C69" i="2"/>
  <c r="E67" i="2"/>
  <c r="D67" i="2"/>
  <c r="C67" i="2"/>
  <c r="E66" i="2"/>
  <c r="D66" i="2"/>
  <c r="C66" i="2"/>
  <c r="E65" i="2"/>
  <c r="D65" i="2"/>
  <c r="C65" i="2"/>
  <c r="D56" i="2"/>
  <c r="D55" i="2"/>
  <c r="D54" i="2"/>
  <c r="P45" i="2"/>
  <c r="P44" i="2"/>
  <c r="P43" i="2"/>
  <c r="D23" i="2"/>
  <c r="C54" i="2"/>
  <c r="C55" i="2"/>
  <c r="C56" i="2"/>
  <c r="B56" i="2"/>
  <c r="B55" i="2"/>
  <c r="B54" i="2"/>
  <c r="K45" i="2"/>
  <c r="K44" i="2"/>
  <c r="K43" i="2"/>
  <c r="J45" i="2"/>
  <c r="J44" i="2"/>
  <c r="J43" i="2"/>
  <c r="D44" i="2"/>
  <c r="D43" i="2"/>
  <c r="G45" i="2"/>
  <c r="G44" i="2"/>
  <c r="G43" i="2"/>
  <c r="F45" i="2"/>
  <c r="F44" i="2"/>
  <c r="F43" i="2"/>
  <c r="E43" i="2"/>
  <c r="E44" i="2"/>
  <c r="E45" i="2"/>
  <c r="D45" i="2"/>
  <c r="C45" i="2"/>
  <c r="C44" i="2"/>
  <c r="C43" i="2"/>
  <c r="B45" i="2"/>
  <c r="B43" i="2"/>
  <c r="B22" i="2"/>
  <c r="B21" i="2"/>
  <c r="C21" i="2"/>
  <c r="C22" i="2"/>
  <c r="C23" i="2"/>
  <c r="B23" i="2"/>
  <c r="A23" i="2"/>
  <c r="A22" i="2"/>
  <c r="A21" i="2"/>
  <c r="C16" i="2"/>
  <c r="B16" i="2"/>
  <c r="C14" i="2"/>
  <c r="B14" i="2"/>
  <c r="C13" i="2"/>
  <c r="B13" i="2"/>
  <c r="E7" i="2"/>
  <c r="E6" i="2"/>
  <c r="E5" i="2"/>
  <c r="D7" i="2"/>
  <c r="D6" i="2"/>
  <c r="D5" i="2"/>
  <c r="C6" i="2"/>
  <c r="C5" i="2"/>
  <c r="C7" i="2"/>
  <c r="B44" i="2"/>
  <c r="B7" i="2"/>
  <c r="B6" i="2"/>
  <c r="B5" i="2"/>
  <c r="A1" i="2"/>
  <c r="I158" i="2" l="1"/>
  <c r="K181" i="2"/>
  <c r="C181" i="2"/>
  <c r="J181" i="2"/>
  <c r="H181" i="2"/>
  <c r="G195" i="2"/>
  <c r="N195" i="2"/>
  <c r="F195" i="2"/>
  <c r="L195" i="2"/>
  <c r="D195" i="2"/>
  <c r="G217" i="2"/>
  <c r="F217" i="2"/>
  <c r="J217" i="2"/>
  <c r="B217" i="2"/>
  <c r="I217" i="2"/>
  <c r="H217" i="2"/>
  <c r="D217" i="2"/>
  <c r="G229" i="2"/>
  <c r="F229" i="2"/>
  <c r="J229" i="2"/>
  <c r="B229" i="2"/>
  <c r="D229" i="2"/>
  <c r="I229" i="2"/>
  <c r="E229" i="2"/>
  <c r="J274" i="2"/>
  <c r="B274" i="2"/>
  <c r="H274" i="2"/>
  <c r="F274" i="2"/>
  <c r="I274" i="2"/>
  <c r="E274" i="2"/>
  <c r="D274" i="2"/>
  <c r="G274" i="2"/>
  <c r="C274" i="2"/>
  <c r="H157" i="2"/>
  <c r="J158" i="2"/>
  <c r="I161" i="2"/>
  <c r="D162" i="2"/>
  <c r="G163" i="2"/>
  <c r="L163" i="2"/>
  <c r="D163" i="2"/>
  <c r="K163" i="2"/>
  <c r="D165" i="2"/>
  <c r="N165" i="2"/>
  <c r="I169" i="2"/>
  <c r="E171" i="2"/>
  <c r="H174" i="2"/>
  <c r="K177" i="2"/>
  <c r="C177" i="2"/>
  <c r="J177" i="2"/>
  <c r="H177" i="2"/>
  <c r="M177" i="2"/>
  <c r="I178" i="2"/>
  <c r="I179" i="2"/>
  <c r="N181" i="2"/>
  <c r="J183" i="2"/>
  <c r="D185" i="2"/>
  <c r="M186" i="2"/>
  <c r="E186" i="2"/>
  <c r="L186" i="2"/>
  <c r="D186" i="2"/>
  <c r="J186" i="2"/>
  <c r="N186" i="2"/>
  <c r="E189" i="2"/>
  <c r="G191" i="2"/>
  <c r="N191" i="2"/>
  <c r="F191" i="2"/>
  <c r="L191" i="2"/>
  <c r="D191" i="2"/>
  <c r="M191" i="2"/>
  <c r="C194" i="2"/>
  <c r="G197" i="2"/>
  <c r="F198" i="2"/>
  <c r="C199" i="2"/>
  <c r="D200" i="2"/>
  <c r="E212" i="2"/>
  <c r="C217" i="2"/>
  <c r="C229" i="2"/>
  <c r="H233" i="2"/>
  <c r="G241" i="2"/>
  <c r="F241" i="2"/>
  <c r="C241" i="2"/>
  <c r="J241" i="2"/>
  <c r="B241" i="2"/>
  <c r="I241" i="2"/>
  <c r="E241" i="2"/>
  <c r="D241" i="2"/>
  <c r="C243" i="2"/>
  <c r="J243" i="2"/>
  <c r="B243" i="2"/>
  <c r="G243" i="2"/>
  <c r="F243" i="2"/>
  <c r="H243" i="2"/>
  <c r="D243" i="2"/>
  <c r="I243" i="2"/>
  <c r="G253" i="2"/>
  <c r="F253" i="2"/>
  <c r="E253" i="2"/>
  <c r="C253" i="2"/>
  <c r="J253" i="2"/>
  <c r="B253" i="2"/>
  <c r="H253" i="2"/>
  <c r="D253" i="2"/>
  <c r="H283" i="2"/>
  <c r="F283" i="2"/>
  <c r="D283" i="2"/>
  <c r="J283" i="2"/>
  <c r="I283" i="2"/>
  <c r="E283" i="2"/>
  <c r="C283" i="2"/>
  <c r="B283" i="2"/>
  <c r="G283" i="2"/>
  <c r="M181" i="2"/>
  <c r="M190" i="2"/>
  <c r="E190" i="2"/>
  <c r="L190" i="2"/>
  <c r="D190" i="2"/>
  <c r="J190" i="2"/>
  <c r="M195" i="2"/>
  <c r="I157" i="2"/>
  <c r="C158" i="2"/>
  <c r="K158" i="2"/>
  <c r="J161" i="2"/>
  <c r="F162" i="2"/>
  <c r="E165" i="2"/>
  <c r="M166" i="2"/>
  <c r="E166" i="2"/>
  <c r="J166" i="2"/>
  <c r="K166" i="2"/>
  <c r="H171" i="2"/>
  <c r="K173" i="2"/>
  <c r="C173" i="2"/>
  <c r="J173" i="2"/>
  <c r="H173" i="2"/>
  <c r="M173" i="2"/>
  <c r="D181" i="2"/>
  <c r="M182" i="2"/>
  <c r="E182" i="2"/>
  <c r="L182" i="2"/>
  <c r="D182" i="2"/>
  <c r="J182" i="2"/>
  <c r="N182" i="2"/>
  <c r="E185" i="2"/>
  <c r="G187" i="2"/>
  <c r="N187" i="2"/>
  <c r="F187" i="2"/>
  <c r="L187" i="2"/>
  <c r="D187" i="2"/>
  <c r="M187" i="2"/>
  <c r="F189" i="2"/>
  <c r="C190" i="2"/>
  <c r="F194" i="2"/>
  <c r="C195" i="2"/>
  <c r="I197" i="2"/>
  <c r="G198" i="2"/>
  <c r="F199" i="2"/>
  <c r="E200" i="2"/>
  <c r="E217" i="2"/>
  <c r="E222" i="2"/>
  <c r="D222" i="2"/>
  <c r="H222" i="2"/>
  <c r="I222" i="2"/>
  <c r="G222" i="2"/>
  <c r="C222" i="2"/>
  <c r="H229" i="2"/>
  <c r="G265" i="2"/>
  <c r="F265" i="2"/>
  <c r="E265" i="2"/>
  <c r="C265" i="2"/>
  <c r="J265" i="2"/>
  <c r="B265" i="2"/>
  <c r="D265" i="2"/>
  <c r="H265" i="2"/>
  <c r="F165" i="2"/>
  <c r="K169" i="2"/>
  <c r="C169" i="2"/>
  <c r="J169" i="2"/>
  <c r="H169" i="2"/>
  <c r="M169" i="2"/>
  <c r="M178" i="2"/>
  <c r="E178" i="2"/>
  <c r="L178" i="2"/>
  <c r="D178" i="2"/>
  <c r="J178" i="2"/>
  <c r="N178" i="2"/>
  <c r="E181" i="2"/>
  <c r="G183" i="2"/>
  <c r="N183" i="2"/>
  <c r="F183" i="2"/>
  <c r="L183" i="2"/>
  <c r="D183" i="2"/>
  <c r="M183" i="2"/>
  <c r="F185" i="2"/>
  <c r="F190" i="2"/>
  <c r="G194" i="2"/>
  <c r="E195" i="2"/>
  <c r="H198" i="2"/>
  <c r="I199" i="2"/>
  <c r="G200" i="2"/>
  <c r="G213" i="2"/>
  <c r="F213" i="2"/>
  <c r="J213" i="2"/>
  <c r="B213" i="2"/>
  <c r="H213" i="2"/>
  <c r="E218" i="2"/>
  <c r="D218" i="2"/>
  <c r="H218" i="2"/>
  <c r="J218" i="2"/>
  <c r="G218" i="2"/>
  <c r="D158" i="2"/>
  <c r="L158" i="2"/>
  <c r="L161" i="2"/>
  <c r="E158" i="2"/>
  <c r="N158" i="2"/>
  <c r="H162" i="2"/>
  <c r="N169" i="2"/>
  <c r="J171" i="2"/>
  <c r="M174" i="2"/>
  <c r="E174" i="2"/>
  <c r="L174" i="2"/>
  <c r="D174" i="2"/>
  <c r="J174" i="2"/>
  <c r="N174" i="2"/>
  <c r="K197" i="2"/>
  <c r="C197" i="2"/>
  <c r="J197" i="2"/>
  <c r="H197" i="2"/>
  <c r="M197" i="2"/>
  <c r="J199" i="2"/>
  <c r="H200" i="2"/>
  <c r="C213" i="2"/>
  <c r="B218" i="2"/>
  <c r="K161" i="2"/>
  <c r="C161" i="2"/>
  <c r="H161" i="2"/>
  <c r="G165" i="2"/>
  <c r="G179" i="2"/>
  <c r="N179" i="2"/>
  <c r="F179" i="2"/>
  <c r="L179" i="2"/>
  <c r="D179" i="2"/>
  <c r="M179" i="2"/>
  <c r="F181" i="2"/>
  <c r="G185" i="2"/>
  <c r="I189" i="2"/>
  <c r="G190" i="2"/>
  <c r="H194" i="2"/>
  <c r="H195" i="2"/>
  <c r="I198" i="2"/>
  <c r="D157" i="2"/>
  <c r="F158" i="2"/>
  <c r="G159" i="2"/>
  <c r="L159" i="2"/>
  <c r="D159" i="2"/>
  <c r="K159" i="2"/>
  <c r="D161" i="2"/>
  <c r="N161" i="2"/>
  <c r="F163" i="2"/>
  <c r="I165" i="2"/>
  <c r="D166" i="2"/>
  <c r="G167" i="2"/>
  <c r="L167" i="2"/>
  <c r="D167" i="2"/>
  <c r="K167" i="2"/>
  <c r="D169" i="2"/>
  <c r="M170" i="2"/>
  <c r="E170" i="2"/>
  <c r="L170" i="2"/>
  <c r="D170" i="2"/>
  <c r="J170" i="2"/>
  <c r="N170" i="2"/>
  <c r="E173" i="2"/>
  <c r="G175" i="2"/>
  <c r="N175" i="2"/>
  <c r="F175" i="2"/>
  <c r="L175" i="2"/>
  <c r="D175" i="2"/>
  <c r="M175" i="2"/>
  <c r="F177" i="2"/>
  <c r="C178" i="2"/>
  <c r="G181" i="2"/>
  <c r="F182" i="2"/>
  <c r="C183" i="2"/>
  <c r="I185" i="2"/>
  <c r="G186" i="2"/>
  <c r="E187" i="2"/>
  <c r="H190" i="2"/>
  <c r="H191" i="2"/>
  <c r="K193" i="2"/>
  <c r="C193" i="2"/>
  <c r="J193" i="2"/>
  <c r="H193" i="2"/>
  <c r="M193" i="2"/>
  <c r="I194" i="2"/>
  <c r="I195" i="2"/>
  <c r="N197" i="2"/>
  <c r="K199" i="2"/>
  <c r="D213" i="2"/>
  <c r="C215" i="2"/>
  <c r="J215" i="2"/>
  <c r="B215" i="2"/>
  <c r="F215" i="2"/>
  <c r="E215" i="2"/>
  <c r="D215" i="2"/>
  <c r="C218" i="2"/>
  <c r="J222" i="2"/>
  <c r="C227" i="2"/>
  <c r="J227" i="2"/>
  <c r="B227" i="2"/>
  <c r="F227" i="2"/>
  <c r="H227" i="2"/>
  <c r="G227" i="2"/>
  <c r="D227" i="2"/>
  <c r="G158" i="2"/>
  <c r="E161" i="2"/>
  <c r="M162" i="2"/>
  <c r="E162" i="2"/>
  <c r="J162" i="2"/>
  <c r="K162" i="2"/>
  <c r="E169" i="2"/>
  <c r="G171" i="2"/>
  <c r="N171" i="2"/>
  <c r="F171" i="2"/>
  <c r="L171" i="2"/>
  <c r="D171" i="2"/>
  <c r="M171" i="2"/>
  <c r="F178" i="2"/>
  <c r="I181" i="2"/>
  <c r="E183" i="2"/>
  <c r="K189" i="2"/>
  <c r="C189" i="2"/>
  <c r="J189" i="2"/>
  <c r="H189" i="2"/>
  <c r="M189" i="2"/>
  <c r="I190" i="2"/>
  <c r="J195" i="2"/>
  <c r="D197" i="2"/>
  <c r="M198" i="2"/>
  <c r="E198" i="2"/>
  <c r="L198" i="2"/>
  <c r="D198" i="2"/>
  <c r="J198" i="2"/>
  <c r="N198" i="2"/>
  <c r="H212" i="2"/>
  <c r="D212" i="2"/>
  <c r="J212" i="2"/>
  <c r="I212" i="2"/>
  <c r="F212" i="2"/>
  <c r="E213" i="2"/>
  <c r="F218" i="2"/>
  <c r="C223" i="2"/>
  <c r="J223" i="2"/>
  <c r="B223" i="2"/>
  <c r="F223" i="2"/>
  <c r="I223" i="2"/>
  <c r="G223" i="2"/>
  <c r="J278" i="2"/>
  <c r="B278" i="2"/>
  <c r="H278" i="2"/>
  <c r="F278" i="2"/>
  <c r="I278" i="2"/>
  <c r="G278" i="2"/>
  <c r="D278" i="2"/>
  <c r="C278" i="2"/>
  <c r="E278" i="2"/>
  <c r="H158" i="2"/>
  <c r="K165" i="2"/>
  <c r="C165" i="2"/>
  <c r="H165" i="2"/>
  <c r="L165" i="2"/>
  <c r="L181" i="2"/>
  <c r="K185" i="2"/>
  <c r="C185" i="2"/>
  <c r="J185" i="2"/>
  <c r="H185" i="2"/>
  <c r="M185" i="2"/>
  <c r="K190" i="2"/>
  <c r="M194" i="2"/>
  <c r="E194" i="2"/>
  <c r="L194" i="2"/>
  <c r="D194" i="2"/>
  <c r="J194" i="2"/>
  <c r="N194" i="2"/>
  <c r="K195" i="2"/>
  <c r="L199" i="2"/>
  <c r="D199" i="2"/>
  <c r="H199" i="2"/>
  <c r="G199" i="2"/>
  <c r="N199" i="2"/>
  <c r="E199" i="2"/>
  <c r="N200" i="2"/>
  <c r="F200" i="2"/>
  <c r="J200" i="2"/>
  <c r="M200" i="2"/>
  <c r="C200" i="2"/>
  <c r="L200" i="2"/>
  <c r="I200" i="2"/>
  <c r="G233" i="2"/>
  <c r="F233" i="2"/>
  <c r="J233" i="2"/>
  <c r="B233" i="2"/>
  <c r="D233" i="2"/>
  <c r="C233" i="2"/>
  <c r="C235" i="2"/>
  <c r="J235" i="2"/>
  <c r="B235" i="2"/>
  <c r="F235" i="2"/>
  <c r="D235" i="2"/>
  <c r="I235" i="2"/>
  <c r="H235" i="2"/>
  <c r="E235" i="2"/>
  <c r="F160" i="2"/>
  <c r="N160" i="2"/>
  <c r="F164" i="2"/>
  <c r="N164" i="2"/>
  <c r="F168" i="2"/>
  <c r="N168" i="2"/>
  <c r="F172" i="2"/>
  <c r="N172" i="2"/>
  <c r="F176" i="2"/>
  <c r="N176" i="2"/>
  <c r="F180" i="2"/>
  <c r="N180" i="2"/>
  <c r="F184" i="2"/>
  <c r="N184" i="2"/>
  <c r="F188" i="2"/>
  <c r="N188" i="2"/>
  <c r="F192" i="2"/>
  <c r="N192" i="2"/>
  <c r="F196" i="2"/>
  <c r="N196" i="2"/>
  <c r="G221" i="2"/>
  <c r="F221" i="2"/>
  <c r="J221" i="2"/>
  <c r="B221" i="2"/>
  <c r="E226" i="2"/>
  <c r="D226" i="2"/>
  <c r="H226" i="2"/>
  <c r="B234" i="2"/>
  <c r="E237" i="2"/>
  <c r="G257" i="2"/>
  <c r="F257" i="2"/>
  <c r="E257" i="2"/>
  <c r="C257" i="2"/>
  <c r="J257" i="2"/>
  <c r="B257" i="2"/>
  <c r="D261" i="2"/>
  <c r="E214" i="2"/>
  <c r="D214" i="2"/>
  <c r="H214" i="2"/>
  <c r="G225" i="2"/>
  <c r="F225" i="2"/>
  <c r="J225" i="2"/>
  <c r="B225" i="2"/>
  <c r="C231" i="2"/>
  <c r="J231" i="2"/>
  <c r="B231" i="2"/>
  <c r="F231" i="2"/>
  <c r="F234" i="2"/>
  <c r="C239" i="2"/>
  <c r="J239" i="2"/>
  <c r="B239" i="2"/>
  <c r="F239" i="2"/>
  <c r="G245" i="2"/>
  <c r="F245" i="2"/>
  <c r="C245" i="2"/>
  <c r="J245" i="2"/>
  <c r="B245" i="2"/>
  <c r="G249" i="2"/>
  <c r="F249" i="2"/>
  <c r="E249" i="2"/>
  <c r="C249" i="2"/>
  <c r="J249" i="2"/>
  <c r="B249" i="2"/>
  <c r="F272" i="2"/>
  <c r="D272" i="2"/>
  <c r="J272" i="2"/>
  <c r="B272" i="2"/>
  <c r="G272" i="2"/>
  <c r="E272" i="2"/>
  <c r="C272" i="2"/>
  <c r="B214" i="2"/>
  <c r="C219" i="2"/>
  <c r="J219" i="2"/>
  <c r="B219" i="2"/>
  <c r="F219" i="2"/>
  <c r="C225" i="2"/>
  <c r="E230" i="2"/>
  <c r="D230" i="2"/>
  <c r="H230" i="2"/>
  <c r="D231" i="2"/>
  <c r="E238" i="2"/>
  <c r="D238" i="2"/>
  <c r="H238" i="2"/>
  <c r="D239" i="2"/>
  <c r="D245" i="2"/>
  <c r="D249" i="2"/>
  <c r="H272" i="2"/>
  <c r="H335" i="2"/>
  <c r="G335" i="2"/>
  <c r="F335" i="2"/>
  <c r="E335" i="2"/>
  <c r="D335" i="2"/>
  <c r="C335" i="2"/>
  <c r="J335" i="2"/>
  <c r="I335" i="2"/>
  <c r="B335" i="2"/>
  <c r="J302" i="2"/>
  <c r="B302" i="2"/>
  <c r="H302" i="2"/>
  <c r="F302" i="2"/>
  <c r="E302" i="2"/>
  <c r="I302" i="2"/>
  <c r="G302" i="2"/>
  <c r="D302" i="2"/>
  <c r="C302" i="2"/>
  <c r="G237" i="2"/>
  <c r="F237" i="2"/>
  <c r="J237" i="2"/>
  <c r="B237" i="2"/>
  <c r="G269" i="2"/>
  <c r="F269" i="2"/>
  <c r="E269" i="2"/>
  <c r="C269" i="2"/>
  <c r="J269" i="2"/>
  <c r="B269" i="2"/>
  <c r="H299" i="2"/>
  <c r="F299" i="2"/>
  <c r="D299" i="2"/>
  <c r="C299" i="2"/>
  <c r="J299" i="2"/>
  <c r="I299" i="2"/>
  <c r="G299" i="2"/>
  <c r="E299" i="2"/>
  <c r="B299" i="2"/>
  <c r="D305" i="2"/>
  <c r="J305" i="2"/>
  <c r="B305" i="2"/>
  <c r="H305" i="2"/>
  <c r="G305" i="2"/>
  <c r="I305" i="2"/>
  <c r="F305" i="2"/>
  <c r="E305" i="2"/>
  <c r="C305" i="2"/>
  <c r="H287" i="2"/>
  <c r="F287" i="2"/>
  <c r="D287" i="2"/>
  <c r="J287" i="2"/>
  <c r="I287" i="2"/>
  <c r="G287" i="2"/>
  <c r="C287" i="2"/>
  <c r="B287" i="2"/>
  <c r="E234" i="2"/>
  <c r="D234" i="2"/>
  <c r="H234" i="2"/>
  <c r="D237" i="2"/>
  <c r="G261" i="2"/>
  <c r="F261" i="2"/>
  <c r="E261" i="2"/>
  <c r="C261" i="2"/>
  <c r="J261" i="2"/>
  <c r="B261" i="2"/>
  <c r="H269" i="2"/>
  <c r="D281" i="2"/>
  <c r="J281" i="2"/>
  <c r="B281" i="2"/>
  <c r="H281" i="2"/>
  <c r="F281" i="2"/>
  <c r="E281" i="2"/>
  <c r="C281" i="2"/>
  <c r="E287" i="2"/>
  <c r="D216" i="2"/>
  <c r="D220" i="2"/>
  <c r="D224" i="2"/>
  <c r="H242" i="2"/>
  <c r="H246" i="2"/>
  <c r="F247" i="2"/>
  <c r="H250" i="2"/>
  <c r="F251" i="2"/>
  <c r="H254" i="2"/>
  <c r="F255" i="2"/>
  <c r="H258" i="2"/>
  <c r="F259" i="2"/>
  <c r="H262" i="2"/>
  <c r="F263" i="2"/>
  <c r="H266" i="2"/>
  <c r="F267" i="2"/>
  <c r="H270" i="2"/>
  <c r="I271" i="2"/>
  <c r="D273" i="2"/>
  <c r="J273" i="2"/>
  <c r="B273" i="2"/>
  <c r="H273" i="2"/>
  <c r="J282" i="2"/>
  <c r="B282" i="2"/>
  <c r="H282" i="2"/>
  <c r="F282" i="2"/>
  <c r="J290" i="2"/>
  <c r="B290" i="2"/>
  <c r="H290" i="2"/>
  <c r="F290" i="2"/>
  <c r="E290" i="2"/>
  <c r="D293" i="2"/>
  <c r="J293" i="2"/>
  <c r="B293" i="2"/>
  <c r="H293" i="2"/>
  <c r="G293" i="2"/>
  <c r="I303" i="2"/>
  <c r="J310" i="2"/>
  <c r="B310" i="2"/>
  <c r="H310" i="2"/>
  <c r="G310" i="2"/>
  <c r="F310" i="2"/>
  <c r="E310" i="2"/>
  <c r="G315" i="2"/>
  <c r="H319" i="2"/>
  <c r="F319" i="2"/>
  <c r="E319" i="2"/>
  <c r="D319" i="2"/>
  <c r="C319" i="2"/>
  <c r="D322" i="2"/>
  <c r="J326" i="2"/>
  <c r="B326" i="2"/>
  <c r="H326" i="2"/>
  <c r="G326" i="2"/>
  <c r="F326" i="2"/>
  <c r="E326" i="2"/>
  <c r="G331" i="2"/>
  <c r="I242" i="2"/>
  <c r="I246" i="2"/>
  <c r="G247" i="2"/>
  <c r="I250" i="2"/>
  <c r="G251" i="2"/>
  <c r="I254" i="2"/>
  <c r="G255" i="2"/>
  <c r="I258" i="2"/>
  <c r="G259" i="2"/>
  <c r="I262" i="2"/>
  <c r="G263" i="2"/>
  <c r="I266" i="2"/>
  <c r="G267" i="2"/>
  <c r="I270" i="2"/>
  <c r="D277" i="2"/>
  <c r="J277" i="2"/>
  <c r="B277" i="2"/>
  <c r="H277" i="2"/>
  <c r="J286" i="2"/>
  <c r="B286" i="2"/>
  <c r="H286" i="2"/>
  <c r="F286" i="2"/>
  <c r="H307" i="2"/>
  <c r="F307" i="2"/>
  <c r="D307" i="2"/>
  <c r="C307" i="2"/>
  <c r="C310" i="2"/>
  <c r="I315" i="2"/>
  <c r="B319" i="2"/>
  <c r="C326" i="2"/>
  <c r="I331" i="2"/>
  <c r="H295" i="2"/>
  <c r="F295" i="2"/>
  <c r="D295" i="2"/>
  <c r="C295" i="2"/>
  <c r="J298" i="2"/>
  <c r="B298" i="2"/>
  <c r="H298" i="2"/>
  <c r="F298" i="2"/>
  <c r="E298" i="2"/>
  <c r="D301" i="2"/>
  <c r="J301" i="2"/>
  <c r="B301" i="2"/>
  <c r="H301" i="2"/>
  <c r="G301" i="2"/>
  <c r="J314" i="2"/>
  <c r="B314" i="2"/>
  <c r="H314" i="2"/>
  <c r="G314" i="2"/>
  <c r="F314" i="2"/>
  <c r="E314" i="2"/>
  <c r="H323" i="2"/>
  <c r="F323" i="2"/>
  <c r="E323" i="2"/>
  <c r="D323" i="2"/>
  <c r="C323" i="2"/>
  <c r="J330" i="2"/>
  <c r="B330" i="2"/>
  <c r="H330" i="2"/>
  <c r="G330" i="2"/>
  <c r="F330" i="2"/>
  <c r="E330" i="2"/>
  <c r="I247" i="2"/>
  <c r="I251" i="2"/>
  <c r="I255" i="2"/>
  <c r="I259" i="2"/>
  <c r="I263" i="2"/>
  <c r="I267" i="2"/>
  <c r="H271" i="2"/>
  <c r="F271" i="2"/>
  <c r="D271" i="2"/>
  <c r="F276" i="2"/>
  <c r="D276" i="2"/>
  <c r="J276" i="2"/>
  <c r="B276" i="2"/>
  <c r="D285" i="2"/>
  <c r="J285" i="2"/>
  <c r="B285" i="2"/>
  <c r="H285" i="2"/>
  <c r="D289" i="2"/>
  <c r="J289" i="2"/>
  <c r="B289" i="2"/>
  <c r="H289" i="2"/>
  <c r="G289" i="2"/>
  <c r="B295" i="2"/>
  <c r="C298" i="2"/>
  <c r="C301" i="2"/>
  <c r="C314" i="2"/>
  <c r="B323" i="2"/>
  <c r="C330" i="2"/>
  <c r="H216" i="2"/>
  <c r="H220" i="2"/>
  <c r="H224" i="2"/>
  <c r="H228" i="2"/>
  <c r="D242" i="2"/>
  <c r="D246" i="2"/>
  <c r="B247" i="2"/>
  <c r="J247" i="2"/>
  <c r="D250" i="2"/>
  <c r="B251" i="2"/>
  <c r="J251" i="2"/>
  <c r="D254" i="2"/>
  <c r="B255" i="2"/>
  <c r="J255" i="2"/>
  <c r="D258" i="2"/>
  <c r="B259" i="2"/>
  <c r="J259" i="2"/>
  <c r="D262" i="2"/>
  <c r="B263" i="2"/>
  <c r="J263" i="2"/>
  <c r="D266" i="2"/>
  <c r="B267" i="2"/>
  <c r="J267" i="2"/>
  <c r="D270" i="2"/>
  <c r="B271" i="2"/>
  <c r="G273" i="2"/>
  <c r="H275" i="2"/>
  <c r="F275" i="2"/>
  <c r="D275" i="2"/>
  <c r="C276" i="2"/>
  <c r="F277" i="2"/>
  <c r="F280" i="2"/>
  <c r="D280" i="2"/>
  <c r="J280" i="2"/>
  <c r="B280" i="2"/>
  <c r="G282" i="2"/>
  <c r="C285" i="2"/>
  <c r="E286" i="2"/>
  <c r="C289" i="2"/>
  <c r="I290" i="2"/>
  <c r="I293" i="2"/>
  <c r="E295" i="2"/>
  <c r="D298" i="2"/>
  <c r="E301" i="2"/>
  <c r="H303" i="2"/>
  <c r="F303" i="2"/>
  <c r="D303" i="2"/>
  <c r="C303" i="2"/>
  <c r="J306" i="2"/>
  <c r="B306" i="2"/>
  <c r="H306" i="2"/>
  <c r="F306" i="2"/>
  <c r="E306" i="2"/>
  <c r="H311" i="2"/>
  <c r="F311" i="2"/>
  <c r="E311" i="2"/>
  <c r="D311" i="2"/>
  <c r="C311" i="2"/>
  <c r="D314" i="2"/>
  <c r="J318" i="2"/>
  <c r="B318" i="2"/>
  <c r="H318" i="2"/>
  <c r="G318" i="2"/>
  <c r="F318" i="2"/>
  <c r="E318" i="2"/>
  <c r="J319" i="2"/>
  <c r="G323" i="2"/>
  <c r="H327" i="2"/>
  <c r="F327" i="2"/>
  <c r="E327" i="2"/>
  <c r="D327" i="2"/>
  <c r="C327" i="2"/>
  <c r="D330" i="2"/>
  <c r="C271" i="2"/>
  <c r="I273" i="2"/>
  <c r="B275" i="2"/>
  <c r="E276" i="2"/>
  <c r="G277" i="2"/>
  <c r="H279" i="2"/>
  <c r="F279" i="2"/>
  <c r="D279" i="2"/>
  <c r="C280" i="2"/>
  <c r="I282" i="2"/>
  <c r="F284" i="2"/>
  <c r="D284" i="2"/>
  <c r="J284" i="2"/>
  <c r="B284" i="2"/>
  <c r="E285" i="2"/>
  <c r="G286" i="2"/>
  <c r="E289" i="2"/>
  <c r="H291" i="2"/>
  <c r="F291" i="2"/>
  <c r="D291" i="2"/>
  <c r="C291" i="2"/>
  <c r="J294" i="2"/>
  <c r="B294" i="2"/>
  <c r="H294" i="2"/>
  <c r="F294" i="2"/>
  <c r="E294" i="2"/>
  <c r="G295" i="2"/>
  <c r="D297" i="2"/>
  <c r="J297" i="2"/>
  <c r="B297" i="2"/>
  <c r="H297" i="2"/>
  <c r="G297" i="2"/>
  <c r="G298" i="2"/>
  <c r="F301" i="2"/>
  <c r="B303" i="2"/>
  <c r="C306" i="2"/>
  <c r="I307" i="2"/>
  <c r="B311" i="2"/>
  <c r="I314" i="2"/>
  <c r="C318" i="2"/>
  <c r="I323" i="2"/>
  <c r="B327" i="2"/>
  <c r="I330" i="2"/>
  <c r="I295" i="2"/>
  <c r="I298" i="2"/>
  <c r="I301" i="2"/>
  <c r="H315" i="2"/>
  <c r="F315" i="2"/>
  <c r="E315" i="2"/>
  <c r="D315" i="2"/>
  <c r="C315" i="2"/>
  <c r="J322" i="2"/>
  <c r="B322" i="2"/>
  <c r="H322" i="2"/>
  <c r="G322" i="2"/>
  <c r="F322" i="2"/>
  <c r="E322" i="2"/>
  <c r="J323" i="2"/>
  <c r="H331" i="2"/>
  <c r="F331" i="2"/>
  <c r="E331" i="2"/>
  <c r="D331" i="2"/>
  <c r="C331" i="2"/>
  <c r="I288" i="2"/>
  <c r="I292" i="2"/>
  <c r="I296" i="2"/>
  <c r="I300" i="2"/>
  <c r="I304" i="2"/>
  <c r="I308" i="2"/>
  <c r="G309" i="2"/>
  <c r="I312" i="2"/>
  <c r="G313" i="2"/>
  <c r="I316" i="2"/>
  <c r="G317" i="2"/>
  <c r="I320" i="2"/>
  <c r="G321" i="2"/>
  <c r="I324" i="2"/>
  <c r="G325" i="2"/>
  <c r="I328" i="2"/>
  <c r="G329" i="2"/>
  <c r="I332" i="2"/>
  <c r="G333" i="2"/>
  <c r="E334" i="2"/>
  <c r="I336" i="2"/>
  <c r="G337" i="2"/>
  <c r="E338" i="2"/>
  <c r="B288" i="2"/>
  <c r="J288" i="2"/>
  <c r="B292" i="2"/>
  <c r="J292" i="2"/>
  <c r="B296" i="2"/>
  <c r="J296" i="2"/>
  <c r="B300" i="2"/>
  <c r="J300" i="2"/>
  <c r="B304" i="2"/>
  <c r="J304" i="2"/>
  <c r="B308" i="2"/>
  <c r="J308" i="2"/>
  <c r="H309" i="2"/>
  <c r="B312" i="2"/>
  <c r="J312" i="2"/>
  <c r="H313" i="2"/>
  <c r="B316" i="2"/>
  <c r="J316" i="2"/>
  <c r="H317" i="2"/>
  <c r="B320" i="2"/>
  <c r="J320" i="2"/>
  <c r="H321" i="2"/>
  <c r="B324" i="2"/>
  <c r="J324" i="2"/>
  <c r="H325" i="2"/>
  <c r="B328" i="2"/>
  <c r="J328" i="2"/>
  <c r="H329" i="2"/>
  <c r="B332" i="2"/>
  <c r="J332" i="2"/>
  <c r="H333" i="2"/>
  <c r="F334" i="2"/>
  <c r="B336" i="2"/>
  <c r="J336" i="2"/>
  <c r="H337" i="2"/>
  <c r="F338" i="2"/>
  <c r="I309" i="2"/>
  <c r="I313" i="2"/>
  <c r="I317" i="2"/>
  <c r="I321" i="2"/>
  <c r="I325" i="2"/>
  <c r="I329" i="2"/>
  <c r="I333" i="2"/>
  <c r="G334" i="2"/>
  <c r="I337" i="2"/>
  <c r="G338" i="2"/>
  <c r="D288" i="2"/>
  <c r="D292" i="2"/>
  <c r="D296" i="2"/>
  <c r="D300" i="2"/>
  <c r="D304" i="2"/>
  <c r="D308" i="2"/>
  <c r="B309" i="2"/>
  <c r="J309" i="2"/>
  <c r="D312" i="2"/>
  <c r="B313" i="2"/>
  <c r="J313" i="2"/>
  <c r="D316" i="2"/>
  <c r="B317" i="2"/>
  <c r="J317" i="2"/>
  <c r="D320" i="2"/>
  <c r="B321" i="2"/>
  <c r="J321" i="2"/>
  <c r="D324" i="2"/>
  <c r="B325" i="2"/>
  <c r="J325" i="2"/>
  <c r="D328" i="2"/>
  <c r="B329" i="2"/>
  <c r="J329" i="2"/>
  <c r="D332" i="2"/>
  <c r="B333" i="2"/>
  <c r="J333" i="2"/>
  <c r="H334" i="2"/>
  <c r="D336" i="2"/>
  <c r="B337" i="2"/>
  <c r="J337" i="2"/>
  <c r="H338" i="2"/>
  <c r="I334" i="2"/>
  <c r="I338" i="2"/>
  <c r="B334" i="2"/>
  <c r="B338" i="2"/>
  <c r="C15" i="2"/>
  <c r="B15" i="2"/>
  <c r="E92" i="2" l="1"/>
  <c r="E91" i="2"/>
  <c r="F91" i="2"/>
  <c r="I91" i="2" s="1"/>
  <c r="E90" i="2"/>
  <c r="C89" i="2"/>
  <c r="E88" i="2"/>
  <c r="C88" i="2"/>
  <c r="C87" i="2"/>
  <c r="E87" i="2"/>
  <c r="E86" i="2"/>
  <c r="E84" i="2"/>
  <c r="E83" i="2"/>
  <c r="F83" i="2"/>
  <c r="I83" i="2" s="1"/>
  <c r="E93" i="2"/>
  <c r="L45" i="2" s="1"/>
  <c r="H56" i="2" s="1"/>
  <c r="E89" i="2"/>
  <c r="L44" i="2" s="1"/>
  <c r="H55" i="2" s="1"/>
  <c r="F70" i="2"/>
  <c r="I70" i="2" s="1"/>
  <c r="F69" i="2"/>
  <c r="I69" i="2" s="1"/>
  <c r="E85" i="2"/>
  <c r="L43" i="2" s="1"/>
  <c r="H54" i="2" s="1"/>
  <c r="J56" i="2"/>
  <c r="K56" i="2" s="1"/>
  <c r="G56" i="2"/>
  <c r="J55" i="2"/>
  <c r="K55" i="2" s="1"/>
  <c r="G55" i="2"/>
  <c r="J54" i="2"/>
  <c r="K54" i="2" s="1"/>
  <c r="G54" i="2"/>
  <c r="D119" i="2"/>
  <c r="G119" i="2" s="1"/>
  <c r="F23" i="2"/>
  <c r="F22" i="2"/>
  <c r="F21" i="2"/>
  <c r="D14" i="2"/>
  <c r="F14" i="2" s="1"/>
  <c r="G7" i="2"/>
  <c r="F7" i="2"/>
  <c r="F6" i="2"/>
  <c r="G6" i="2"/>
  <c r="F5" i="2"/>
  <c r="C8" i="2"/>
  <c r="G8" i="2" s="1"/>
  <c r="A155" i="2"/>
  <c r="O43" i="2" l="1"/>
  <c r="F75" i="2"/>
  <c r="I75" i="2" s="1"/>
  <c r="F67" i="2"/>
  <c r="I67" i="2" s="1"/>
  <c r="E21" i="2"/>
  <c r="G21" i="2" s="1"/>
  <c r="H21" i="2" s="1"/>
  <c r="I21" i="2" s="1"/>
  <c r="E22" i="2"/>
  <c r="G22" i="2" s="1"/>
  <c r="F54" i="2"/>
  <c r="G5" i="2"/>
  <c r="D22" i="2"/>
  <c r="C119" i="2" s="1"/>
  <c r="F119" i="2" s="1"/>
  <c r="F56" i="2"/>
  <c r="F74" i="2"/>
  <c r="I74" i="2" s="1"/>
  <c r="D13" i="2"/>
  <c r="F13" i="2" s="1"/>
  <c r="N44" i="2"/>
  <c r="Q44" i="2" s="1"/>
  <c r="N45" i="2"/>
  <c r="Q45" i="2" s="1"/>
  <c r="F71" i="2"/>
  <c r="I71" i="2" s="1"/>
  <c r="C92" i="2"/>
  <c r="D126" i="2"/>
  <c r="G120" i="2" s="1"/>
  <c r="G121" i="2" s="1"/>
  <c r="B67" i="2"/>
  <c r="C83" i="2"/>
  <c r="C85" i="2"/>
  <c r="F87" i="2"/>
  <c r="I87" i="2" s="1"/>
  <c r="C102" i="2"/>
  <c r="B8" i="2"/>
  <c r="I56" i="2" s="1"/>
  <c r="D8" i="2"/>
  <c r="E23" i="2"/>
  <c r="G23" i="2" s="1"/>
  <c r="H23" i="2" s="1"/>
  <c r="I23" i="2" s="1"/>
  <c r="O45" i="2"/>
  <c r="F65" i="2"/>
  <c r="I65" i="2" s="1"/>
  <c r="B71" i="2"/>
  <c r="C84" i="2"/>
  <c r="C93" i="2"/>
  <c r="B126" i="2"/>
  <c r="N43" i="2"/>
  <c r="Q43" i="2" s="1"/>
  <c r="F55" i="2"/>
  <c r="F66" i="2"/>
  <c r="I66" i="2" s="1"/>
  <c r="G71" i="2"/>
  <c r="F73" i="2"/>
  <c r="I73" i="2" s="1"/>
  <c r="C91" i="2"/>
  <c r="B84" i="2"/>
  <c r="E8" i="2"/>
  <c r="F8" i="2" s="1"/>
  <c r="E13" i="2"/>
  <c r="G13" i="2" s="1"/>
  <c r="E14" i="2"/>
  <c r="G14" i="2" s="1"/>
  <c r="O44" i="2"/>
  <c r="H84" i="2"/>
  <c r="A51" i="2"/>
  <c r="F84" i="2"/>
  <c r="I84" i="2" s="1"/>
  <c r="B85" i="2"/>
  <c r="F85" i="2"/>
  <c r="I85" i="2" s="1"/>
  <c r="F88" i="2"/>
  <c r="I88" i="2" s="1"/>
  <c r="B89" i="2"/>
  <c r="F89" i="2"/>
  <c r="I89" i="2" s="1"/>
  <c r="F92" i="2"/>
  <c r="I92" i="2" s="1"/>
  <c r="B93" i="2"/>
  <c r="F93" i="2"/>
  <c r="I93" i="2" s="1"/>
  <c r="E120" i="2"/>
  <c r="E121" i="2" s="1"/>
  <c r="A142" i="2"/>
  <c r="H85" i="2"/>
  <c r="H88" i="2"/>
  <c r="H89" i="2"/>
  <c r="H92" i="2"/>
  <c r="H93" i="2"/>
  <c r="C126" i="2"/>
  <c r="F120" i="2" s="1"/>
  <c r="F121" i="2" s="1"/>
  <c r="B75" i="2"/>
  <c r="A12" i="2"/>
  <c r="D21" i="2"/>
  <c r="A40" i="2"/>
  <c r="B66" i="2" l="1"/>
  <c r="H22" i="2"/>
  <c r="I22" i="2" s="1"/>
  <c r="M45" i="2"/>
  <c r="B88" i="2"/>
  <c r="B92" i="2"/>
  <c r="B70" i="2"/>
  <c r="B102" i="2"/>
  <c r="B74" i="2"/>
  <c r="I54" i="2"/>
  <c r="I55" i="2"/>
  <c r="M44" i="2"/>
  <c r="M43" i="2"/>
  <c r="B91" i="2"/>
  <c r="B87" i="2"/>
  <c r="B83" i="2"/>
  <c r="B73" i="2"/>
  <c r="B119" i="2"/>
  <c r="E119" i="2" s="1"/>
  <c r="B69" i="2"/>
  <c r="B65" i="2"/>
</calcChain>
</file>

<file path=xl/sharedStrings.xml><?xml version="1.0" encoding="utf-8"?>
<sst xmlns="http://schemas.openxmlformats.org/spreadsheetml/2006/main" count="375" uniqueCount="302">
  <si>
    <t>More stringent treatment</t>
  </si>
  <si>
    <t>Secondary treatment</t>
  </si>
  <si>
    <t>Collection</t>
  </si>
  <si>
    <t>IAS [%]</t>
  </si>
  <si>
    <t>IAS [p.e.]</t>
  </si>
  <si>
    <t>Collecting systems[p.e.]</t>
  </si>
  <si>
    <t>Sensitivity of receiving area</t>
  </si>
  <si>
    <t>Distance to target [%]</t>
  </si>
  <si>
    <t>Load collected in</t>
  </si>
  <si>
    <t>Waste water load [p.e.]</t>
  </si>
  <si>
    <t>ID code</t>
  </si>
  <si>
    <t>Name of city</t>
  </si>
  <si>
    <t>Not reported</t>
  </si>
  <si>
    <t>Distance to target for big cities and big dischargers</t>
  </si>
  <si>
    <t xml:space="preserve">Disposed: Others </t>
  </si>
  <si>
    <t xml:space="preserve">Disposed: Incineration </t>
  </si>
  <si>
    <t>Non-compliance [%]</t>
  </si>
  <si>
    <t>Compliance rate [%]</t>
  </si>
  <si>
    <t>Collecting systems [p.e.]</t>
  </si>
  <si>
    <t>NUTS code</t>
  </si>
  <si>
    <t>Name of region</t>
  </si>
  <si>
    <t xml:space="preserve">Disposed: Landfill </t>
  </si>
  <si>
    <t xml:space="preserve">Re-used: Others </t>
  </si>
  <si>
    <t>Compliance rate in the regions of the country</t>
  </si>
  <si>
    <t xml:space="preserve">Re-used: Soil and agriculture </t>
  </si>
  <si>
    <t>Figure 14</t>
  </si>
  <si>
    <t>Adequate treatment performance:</t>
  </si>
  <si>
    <t>Adequate treatment infrastructure in place:</t>
  </si>
  <si>
    <t xml:space="preserve">     More stringent treatment</t>
  </si>
  <si>
    <t xml:space="preserve">     Secondary treatment</t>
  </si>
  <si>
    <t>Collecting system in place:</t>
  </si>
  <si>
    <t>IAS [Individual &amp; appropriated system] in place:</t>
  </si>
  <si>
    <t xml:space="preserve">     Wastewater collection</t>
  </si>
  <si>
    <t>[%]</t>
  </si>
  <si>
    <t>[p. e.]</t>
  </si>
  <si>
    <t>[No]</t>
  </si>
  <si>
    <t>Waste water load</t>
  </si>
  <si>
    <t>Agglomeration</t>
  </si>
  <si>
    <t>Figure 13</t>
  </si>
  <si>
    <t>installation in place</t>
  </si>
  <si>
    <t>More stringent treatment (Article 5)</t>
  </si>
  <si>
    <t>/</t>
  </si>
  <si>
    <t>Target</t>
  </si>
  <si>
    <t>Distance to target: more stringent treatment</t>
  </si>
  <si>
    <t>Target for more stringent treatment achieved</t>
  </si>
  <si>
    <t>Secondary treatment (Article 4)</t>
  </si>
  <si>
    <t>Distance to target: secondary treatment</t>
  </si>
  <si>
    <t>Target for secondary treatment achieved</t>
  </si>
  <si>
    <t>Wastewater collection (Article 3)</t>
  </si>
  <si>
    <t>Labels Figures 8, 10 and 12</t>
  </si>
  <si>
    <t>distance % per Art.</t>
  </si>
  <si>
    <t>Pending</t>
  </si>
  <si>
    <t>Distance to target: collection</t>
  </si>
  <si>
    <t>Target for collection achieved</t>
  </si>
  <si>
    <t>Figure 12</t>
  </si>
  <si>
    <t>Figure 10</t>
  </si>
  <si>
    <t>Figure 8</t>
  </si>
  <si>
    <t>Evolution of the distance to compliance, article by article</t>
  </si>
  <si>
    <t>Non-compliant with Art. 5</t>
  </si>
  <si>
    <t>Compliant with Art. 5</t>
  </si>
  <si>
    <t>Non-compliant with Art. 4</t>
  </si>
  <si>
    <t>Compliant  with Art. 4</t>
  </si>
  <si>
    <t>Labels Figures 7, 9 and 11</t>
  </si>
  <si>
    <t>% Compliant with Art.</t>
  </si>
  <si>
    <t>Non-compliant with Art. 3</t>
  </si>
  <si>
    <t>Compliant with Art. 3</t>
  </si>
  <si>
    <t>Evolution of the compliance of the country, article by article</t>
  </si>
  <si>
    <t>Figure 11</t>
  </si>
  <si>
    <t>Figure 9</t>
  </si>
  <si>
    <t>Figure 7</t>
  </si>
  <si>
    <t>Figures 7 - 12</t>
  </si>
  <si>
    <t>Labels Figure 5</t>
  </si>
  <si>
    <t>%</t>
  </si>
  <si>
    <t>Total waste water load</t>
  </si>
  <si>
    <t>Distance to target</t>
  </si>
  <si>
    <t>Target achieved</t>
  </si>
  <si>
    <t>[p.e.]</t>
  </si>
  <si>
    <t>Figure 6</t>
  </si>
  <si>
    <t>Article 5 
(more stringent 
treatment)</t>
  </si>
  <si>
    <t>Article 5 (more stringent treatment)</t>
  </si>
  <si>
    <t>Article 4 
(secondary treatment)</t>
  </si>
  <si>
    <t>Article 4 (secondary treatment)</t>
  </si>
  <si>
    <t>Article 3 
(collection)</t>
  </si>
  <si>
    <t>Article 3 (collection)</t>
  </si>
  <si>
    <t>Exempted</t>
  </si>
  <si>
    <t>Non-compliant</t>
  </si>
  <si>
    <t>Compliant</t>
  </si>
  <si>
    <t>COMPLIANCE RATE</t>
  </si>
  <si>
    <t>Comply</t>
  </si>
  <si>
    <t>Total</t>
  </si>
  <si>
    <t>Figure 5</t>
  </si>
  <si>
    <t>Labels Figure 4</t>
  </si>
  <si>
    <t>Year</t>
  </si>
  <si>
    <t>NC</t>
  </si>
  <si>
    <t>NR</t>
  </si>
  <si>
    <t>compliant</t>
  </si>
  <si>
    <t>Figure 4</t>
  </si>
  <si>
    <t>Labels Figure 3.2</t>
  </si>
  <si>
    <t>Labels Figure 3.1</t>
  </si>
  <si>
    <t>Percent Figure 3.1</t>
  </si>
  <si>
    <t>Number of agglomerations [No]</t>
  </si>
  <si>
    <t>Figure 3.2</t>
  </si>
  <si>
    <t>Figure 3.1</t>
  </si>
  <si>
    <t>Figure 3</t>
  </si>
  <si>
    <t>Labels Figure 2</t>
  </si>
  <si>
    <t>Labels Figure 1</t>
  </si>
  <si>
    <t>Percentage of agglomerations</t>
  </si>
  <si>
    <t>number of agglomerations</t>
  </si>
  <si>
    <t>[% of generated load]</t>
  </si>
  <si>
    <t>load</t>
  </si>
  <si>
    <t>Size of agglomeration</t>
  </si>
  <si>
    <t>Figure 2</t>
  </si>
  <si>
    <t>Figure 1</t>
  </si>
  <si>
    <t>Figures 1 and 2</t>
  </si>
  <si>
    <t>TOTAL</t>
  </si>
  <si>
    <t>2 000 - 10 000</t>
  </si>
  <si>
    <t>10 001 - 100 000</t>
  </si>
  <si>
    <t>&gt;100 000</t>
  </si>
  <si>
    <t>NR, NI and ?</t>
  </si>
  <si>
    <t>total waste water load to be treated</t>
  </si>
  <si>
    <t>collecting system in place</t>
  </si>
  <si>
    <t>secondary treatment in place</t>
  </si>
  <si>
    <t>compliant secondary treatment</t>
  </si>
  <si>
    <t>more stringent treatment in place</t>
  </si>
  <si>
    <t>compliant more stringent treatment</t>
  </si>
  <si>
    <t>Update and initialization</t>
  </si>
  <si>
    <t>1. Enable macros.</t>
  </si>
  <si>
    <t>3.You can use your dataset, enjoy !</t>
  </si>
  <si>
    <t>2. Download the register on SIIF platform, and click on the button in order to load data in the current file (don't panic if your screen seem like a chrismass tree during the process, it's normal !)</t>
  </si>
  <si>
    <t>Introduction</t>
  </si>
  <si>
    <t>This sheet describes the content of the register, lists the acronyms used in the register, explains some key concepts and describes in a summary form the content of each sheet of the register.</t>
  </si>
  <si>
    <t>Final graphs</t>
  </si>
  <si>
    <t>This sheet contains summary tables and graphs used to quantify and compare different concepts at UWWTD implementation level for the current reporting and the two last reporting exercises at MS level.</t>
  </si>
  <si>
    <t>Information on sensitive area</t>
  </si>
  <si>
    <t>This sheet compiles the different sensitive areas and presents in summary their status and other details on their specificities: zone type, applicable parameters, dates for designation and application, for catchment sensitive areas: link to other sensitive area(s) if any, and for sensitive areas designated under article 5(4): number of plants, total organic design capacity and loads of N and P (entrance and exit of the plants).</t>
  </si>
  <si>
    <t>SA history</t>
  </si>
  <si>
    <r>
      <t>This sheet presents in summary the status of each sensit</t>
    </r>
    <r>
      <rPr>
        <sz val="11"/>
        <rFont val="Calibri"/>
        <family val="2"/>
      </rPr>
      <t>ive area and its main features along the various reportings exercises where relevant, which enables to have an overview of historical changes, when applicable. It is useful to check coherence of the reported situation and changes introduced by MS, if any.</t>
    </r>
  </si>
  <si>
    <t>UWWTP level</t>
  </si>
  <si>
    <t>This sheet presents detailed information at individual urban waste water treatment plant level: agglomeration(s) it is connected to, general information on the plant, receiving area it is discharging into, equipment and level of performance, compliance results, situation in previous reporting, load received and load discharged by polluting parameter.</t>
  </si>
  <si>
    <t>Agglomeration level</t>
  </si>
  <si>
    <t>This sheet presents detailed information at individual agglomeration level including compliance results, reported data (collection, IAS, treatment) distance to target, related NUTS and many other useful information for each individual agglomeration.</t>
  </si>
  <si>
    <t>Agglomeration legal compliance</t>
  </si>
  <si>
    <t>This sheet presents legal compliance results (collection, treatment) of each agglomeration. It should be noted that these results may not coincide with results presented in sheet agglomeration level for agglomerations discharging into sensitive areas under Article 5(4), in which a more stringent calculation is applied to agglomerations &gt; 10.000 p.e. for enabling to obtain global results and calculate aggregated values at various geographical levels (RBD, NUTS2, national).</t>
  </si>
  <si>
    <t>Summary_legal_compliance</t>
  </si>
  <si>
    <t>This sheet presents summary figures on compliance achieved and target by article in up to four tables. The first one is presenting the situation for all agglomerations of the territory, the second one for agglomerations situated in normal areas, the third one for all agglomerations situated in sensitive areas of type Article 5(2,3) and the fourth one for all agglomerations situated in sensitive areas of type Article 5(4) (when applicable, in the last three).</t>
  </si>
  <si>
    <t>distance to target</t>
  </si>
  <si>
    <t>This sheet presents summary figures on distance to target achieved and the remaining distance by article in four tables: the first one is presenting the situation for all agglomerations having reached the deadline for all articles, the second one for all agglomerations having pending deadline(s) for at least one article, the third one for all agglomerations of the country and the fourth one for only big cities and big dischargers.</t>
  </si>
  <si>
    <t>Summary_installation_in_place</t>
  </si>
  <si>
    <r>
      <t xml:space="preserve">This sheet presents, at country level, aggregated values for waste water collection and treatment for each level when equipment is in place and monitoring results = pass. This goes beyond the contents of the sheet summary legal compliance, which considers solely the legal requirements of the Directive. For different reasons, local situation may differ and in particular waste water may be treated to a higher degree than what is required by the UWWTD. What can we find here, for instance: In some cases compliance with Article 4 fails because of collection, </t>
    </r>
    <r>
      <rPr>
        <b/>
        <sz val="11"/>
        <color rgb="FF000000"/>
        <rFont val="Calibri"/>
        <family val="2"/>
      </rPr>
      <t>but the treatment plant installation and performance are correct</t>
    </r>
    <r>
      <rPr>
        <sz val="11"/>
        <color rgb="FF000000"/>
        <rFont val="Calibri"/>
        <family val="2"/>
      </rPr>
      <t xml:space="preserve">. In some cases MS </t>
    </r>
    <r>
      <rPr>
        <b/>
        <sz val="11"/>
        <color rgb="FF000000"/>
        <rFont val="Calibri"/>
        <family val="2"/>
      </rPr>
      <t>declare a more stringent treatment</t>
    </r>
    <r>
      <rPr>
        <sz val="11"/>
        <color rgb="FF000000"/>
        <rFont val="Calibri"/>
        <family val="2"/>
      </rPr>
      <t xml:space="preserve"> while the standard directive rules do not require it.</t>
    </r>
  </si>
  <si>
    <t>breach_list</t>
  </si>
  <si>
    <t>This sheet lists all agglomerations found not compliant (in breach) for the current reporting, together with other features that describe the breach.</t>
  </si>
  <si>
    <t>Summary_big_cities</t>
  </si>
  <si>
    <r>
      <t>This sheet lists all agglomerations identified as big cities or big dischargers and overpassing the threshold of 150,000p.e. See concepts "big city" and "big discharger". The two concepts are not included in the UWWTD, but in the document "</t>
    </r>
    <r>
      <rPr>
        <i/>
        <sz val="11"/>
        <rFont val="Calibri"/>
        <family val="2"/>
        <scheme val="minor"/>
      </rPr>
      <t>Terms and Definitions of the Urban Waste Water Treatment Directive 91/271/EEC</t>
    </r>
    <r>
      <rPr>
        <sz val="11"/>
        <rFont val="Calibri"/>
        <family val="2"/>
        <scheme val="minor"/>
      </rPr>
      <t>, EC, 2007: https://ec.europa.eu/environment/water/water-urbanwaste/info/pdf/terms.pdf", see also key concepts". (Nota: Only big cities identified in the reference list included in the 11th reporting EEA data dictionary have a big city ID and name, the others are identified by the ID and name of the corresponding  agglomeration.)</t>
    </r>
  </si>
  <si>
    <t>Nuts2_level analyse</t>
  </si>
  <si>
    <t>This sheet presents the information on compliance and distance to target aggregated at NUTS 2 (regional) level.</t>
  </si>
  <si>
    <t>sewage_sludge_and_re-use</t>
  </si>
  <si>
    <t>This sheet presents the production of sludge and its various disposal and re-use routes and the volume of wastewater treated by the MS (with different uses, when reported).</t>
  </si>
  <si>
    <t>Graphs</t>
  </si>
  <si>
    <t>This sheet is gathering various tables with all data that are used as intermediate calculation steps to produce the sheet Final graphs.</t>
  </si>
  <si>
    <t>New agglomerations</t>
  </si>
  <si>
    <t>This sheet lists all new agglomerations which where not present in the previous MS reporting, in occasions with reasons for not reporting before.</t>
  </si>
  <si>
    <t>Agglomerations out</t>
  </si>
  <si>
    <t>This sheet lists all agglomerations which are not anymore present in the current MS reporting but were present in the previous MS reporting, in occasions with remarks for not reporting now.</t>
  </si>
  <si>
    <t>New treatment plants</t>
  </si>
  <si>
    <t>This sheet lists all new urban wastewater treatment plants which were not present in the previous MS reporting, with some of their main features, in occasions with reasons for not reporting before.</t>
  </si>
  <si>
    <t>UWWTPsout</t>
  </si>
  <si>
    <t>This sheet lists all urban wastewater treatment plants which are not anymore present in the current MS reporting but were present in the previous MS reporting, with some of their main features, in occasions with remarks for not reporting now.</t>
  </si>
  <si>
    <t>Register: introduction, acronyms, key concepts and tables description</t>
  </si>
  <si>
    <t>The current MS Excel file is named "register". It is a core document for conducting the UWWTD implementation assessment. It is based on the datasets reported by Member States to the European Environment Agency and the compliance and distance to target calculations made by using the corresponding algorithms; it presents data and results in a huge variety of tables and graphs, which describe/summarise many different types of information linked to the application of this Directive. It forms the basis to assess MS situation as regards UWWTD implementation and to elaborate the EU implementation report. It is also a useful tool to search and compile information that might be necessary at different levels, such as infringement procedures, requirements by the European Parliament, by the public, elaboration of press releases and many others.</t>
  </si>
  <si>
    <t>Acronyms</t>
  </si>
  <si>
    <t>Acronym</t>
  </si>
  <si>
    <t>Label</t>
  </si>
  <si>
    <t xml:space="preserve">Primary treatment                </t>
  </si>
  <si>
    <t xml:space="preserve">Secondary treatment              </t>
  </si>
  <si>
    <t>3NP</t>
  </si>
  <si>
    <t>More stringent (or tertiary) treatment : Nitrogen and Phosphorus</t>
  </si>
  <si>
    <t>3other</t>
  </si>
  <si>
    <t>More stringent (or tertiary) treatment: other (UV, Chlorination, ozonation...)</t>
  </si>
  <si>
    <t>A523</t>
  </si>
  <si>
    <t>Art 5(2,3) sensitive area</t>
  </si>
  <si>
    <t xml:space="preserve">A54   </t>
  </si>
  <si>
    <t>Art 5(4) sensitive area</t>
  </si>
  <si>
    <t xml:space="preserve">A58   </t>
  </si>
  <si>
    <t>Art 5(8) sensitive area</t>
  </si>
  <si>
    <t xml:space="preserve">C </t>
  </si>
  <si>
    <t xml:space="preserve">Compliant                        </t>
  </si>
  <si>
    <t xml:space="preserve">CSA   </t>
  </si>
  <si>
    <t xml:space="preserve">Catchment of Sensitive Area      </t>
  </si>
  <si>
    <t>CW</t>
  </si>
  <si>
    <t xml:space="preserve">Coastal waters                   </t>
  </si>
  <si>
    <t>DS</t>
  </si>
  <si>
    <t>Dry Substance</t>
  </si>
  <si>
    <t>ES</t>
  </si>
  <si>
    <t xml:space="preserve">Estuary                          </t>
  </si>
  <si>
    <t xml:space="preserve">EXP   </t>
  </si>
  <si>
    <t xml:space="preserve">EXPired deadline </t>
  </si>
  <si>
    <t>EXP-PD</t>
  </si>
  <si>
    <t>EXPired deadline - Pending Deadline (used when deadline date different for the articles 3, 4 and 5 and at least one deadline is not expired)</t>
  </si>
  <si>
    <t>FW</t>
  </si>
  <si>
    <t xml:space="preserve">Freshwater                       </t>
  </si>
  <si>
    <t xml:space="preserve">IAS   </t>
  </si>
  <si>
    <t>Individual or other Appropriate Systems</t>
  </si>
  <si>
    <t>ID</t>
  </si>
  <si>
    <t>Identifier</t>
  </si>
  <si>
    <t>LC</t>
  </si>
  <si>
    <t>discharge on land (catchment of coastal water)</t>
  </si>
  <si>
    <t>LF</t>
  </si>
  <si>
    <t>discharge on land (catchment of freshwater and/ or estuary)</t>
  </si>
  <si>
    <t xml:space="preserve">LSA   </t>
  </si>
  <si>
    <t xml:space="preserve">Less Sensitive Area              </t>
  </si>
  <si>
    <t>m</t>
  </si>
  <si>
    <t>more stringent treatment microbiological removal</t>
  </si>
  <si>
    <t>MS</t>
  </si>
  <si>
    <t>Member State</t>
  </si>
  <si>
    <t xml:space="preserve">N </t>
  </si>
  <si>
    <t xml:space="preserve">Nitrogen                          </t>
  </si>
  <si>
    <t>NA</t>
  </si>
  <si>
    <t xml:space="preserve">Normal Area                      </t>
  </si>
  <si>
    <t xml:space="preserve">Not Compliant                    </t>
  </si>
  <si>
    <t>NI</t>
  </si>
  <si>
    <t>No Information provided (while this is required by reporting/needed)</t>
  </si>
  <si>
    <t>NO</t>
  </si>
  <si>
    <t xml:space="preserve">Nitrogen &amp; Other                   </t>
  </si>
  <si>
    <t>NP</t>
  </si>
  <si>
    <t xml:space="preserve">Nitrogen &amp; Phosphorus            </t>
  </si>
  <si>
    <t xml:space="preserve">NPO   </t>
  </si>
  <si>
    <t xml:space="preserve">Nitrogen &amp; Phosphorus &amp; Other    </t>
  </si>
  <si>
    <t xml:space="preserve">Not Relevant                     </t>
  </si>
  <si>
    <t>NUTS</t>
  </si>
  <si>
    <t>Nomenclature des Unités territoriales statistiques (Nomenclature of territorial units for statistics)</t>
  </si>
  <si>
    <t xml:space="preserve">O </t>
  </si>
  <si>
    <t xml:space="preserve">Other                            </t>
  </si>
  <si>
    <t>P</t>
  </si>
  <si>
    <t>Phosphorus</t>
  </si>
  <si>
    <t>PD</t>
  </si>
  <si>
    <t xml:space="preserve">Pending Deadline                 </t>
  </si>
  <si>
    <t>PO</t>
  </si>
  <si>
    <t xml:space="preserve">Phosphorus &amp; Other               </t>
  </si>
  <si>
    <t>QC</t>
  </si>
  <si>
    <t xml:space="preserve">Questionable Compliance          </t>
  </si>
  <si>
    <t>RCA</t>
  </si>
  <si>
    <t>Receiving Area</t>
  </si>
  <si>
    <t>SA</t>
  </si>
  <si>
    <t xml:space="preserve">Sensitive Area                   </t>
  </si>
  <si>
    <t>UWWTP</t>
  </si>
  <si>
    <t>Urban Waste Water Treatment Plant</t>
  </si>
  <si>
    <t>WFD</t>
  </si>
  <si>
    <t>Water Framework Directive</t>
  </si>
  <si>
    <t>Key concepts</t>
  </si>
  <si>
    <t>Concept</t>
  </si>
  <si>
    <t>Definition</t>
  </si>
  <si>
    <t>successor</t>
  </si>
  <si>
    <t>(sheet Information on sensitive area) stands for a sensitive area replacing one or more sensitive area that is (are) not operational any longer.</t>
  </si>
  <si>
    <t>predecessor</t>
  </si>
  <si>
    <t>(sheet Information on sensitive area) stands for a sensitive area that is not operational any longer and was replaced by one or more sensitive areas.</t>
  </si>
  <si>
    <t>date of designation</t>
  </si>
  <si>
    <t>(sheet Information on sensitive area) Date defining when the receiving area was legally designated on the basis of a specific act, for a specific criterion.</t>
  </si>
  <si>
    <t>date of application</t>
  </si>
  <si>
    <t>(sheet Information on sensitive area) Date defining when the deadline to comply with the requirements of Article 5 for the receiving area in question has legally expired and thus the corresponding obligations apply. After designation, MS usually have 7 years of transitional period until wastewater treatment must fulfil the requirements of the designation criterion. In specific cases the time period of 7 years is shortened (e.g. because the EU COM launched an infringement for non-designation of an area beforehand)</t>
  </si>
  <si>
    <t>Generated load</t>
  </si>
  <si>
    <t>(sheets final graphs, UWWTP level, agglomeration level, agglomeration legal compliance, summary legal compliance, summary installation in place, breach list, summary big cities, Nuts 2 level analyse) Organic load expressed in population equivalent (p.e.) generated by an agglomeration. This is often a theoretical value derived from a specific methodology to include anticipated evolutions of an agglomeration, see definition in terms and definitions.</t>
  </si>
  <si>
    <t>Capacity</t>
  </si>
  <si>
    <t>(sheet UWWTP level) Organic design capacity (p.e.) of the waste water treatment plant</t>
  </si>
  <si>
    <t>entering load calculated</t>
  </si>
  <si>
    <t>(sheet UWWTP Level, columns Q &amp; R) Member States have to report the share (%) of generated load of agglomeration, collected in collecting system and entering the different plants which are connected to this agglomeration. This value is shown in column Q and the load is calculated in column R.</t>
  </si>
  <si>
    <t>entering load declared</t>
  </si>
  <si>
    <t>(sheet UWWTP Level, columns S &amp; T) Member States have to report the load entering the treatment plants. This is often based on monitoring at plant level. The value is presented in column T and the % of generated load of the agglomeration it is connected to is calculated. If difference with entering load calculated is &gt;30%, a feedback to MS is made to check why. Nota: Two main factors are used by MS to explain difference with entering load calculated: entering load calculated uses generated load based on population census but people do not all effectively live in the agglomeration. On the other hand, entering load declared as entering plant is significantly affected by cesspool wastewater, tourism, sewerage system modifications and reduction of ballast waters.</t>
  </si>
  <si>
    <t>In case of discharge on land</t>
  </si>
  <si>
    <t>(sheet UWWTP Level) Refers to situations where discharged waste water is reused at least partly. This value should be reported if part or all the treated waste water is reused and possible values are " infiltration", "irrigation" or "other purposes". When more than one discharge point, it is possible that different reuses may be reported. In such case they are listed and separated by a ";".</t>
  </si>
  <si>
    <t>Starting date of application 5 N</t>
  </si>
  <si>
    <t>(sheet UWWTP Level and sheet agglomeration level) Refers to starting date of application of criterion N for the sensitive area. It is relevant for sensitive areas under article 5(4) and under 5(2,3)N</t>
  </si>
  <si>
    <t>Starting date of application 5 P</t>
  </si>
  <si>
    <t>(sheet UWWTP Level and sheet agglomeration level) Refers to starting date of application of criterion P for the sensitive area. It is relevant for sensitive areas under article 5(4) and under 5(2,3)P</t>
  </si>
  <si>
    <t>Difference between monitoring results for N and P, and treatment in place.</t>
  </si>
  <si>
    <t>(sheet UWWTP Level column AW) For treatment, in particular of nutrients N and P, different information is reported: the equipment in place (associated to type of treatment) and the monitoring results of this treatment. In some cases the reporting does not include both issues or includes contradicting information (e.g. only the treatment equipment "secondary treatment" was reported and at the same time, passing monitoring results for N-removal). These situations can occur (see concept "monitoring results meet requirements") , but could also indicate an error in the reporting (see explanation of "DTT").</t>
  </si>
  <si>
    <t>Agglomeration information in previous reporting</t>
  </si>
  <si>
    <t xml:space="preserve">(sheet agglomeration level columns N to Q) These columns present the same information than previous columns of this table, taken from previous reporting, to allow compare current situation with previous reporting. It can be a different agglomeration in some cases. </t>
  </si>
  <si>
    <t>Distance To Target (DTT)</t>
  </si>
  <si>
    <r>
      <t>(sheet final graphs, agglomeration level, distance to target &amp; Summary_big_cities) it represents the remaining effort necessary to meet the required level for complying with</t>
    </r>
    <r>
      <rPr>
        <sz val="11"/>
        <rFont val="Calibri"/>
        <family val="2"/>
        <scheme val="minor"/>
      </rPr>
      <t xml:space="preserve"> the article (and with UWWTD) </t>
    </r>
    <r>
      <rPr>
        <sz val="11"/>
        <rFont val="Calibri"/>
        <family val="2"/>
      </rPr>
      <t>in the agglomeration in question</t>
    </r>
    <r>
      <rPr>
        <sz val="11"/>
        <rFont val="Calibri"/>
        <family val="2"/>
        <scheme val="minor"/>
      </rPr>
      <t>. For the collection, it covers part of generated waste water not currently collected. It is conveyed to DTT for article 4 and 5 because waste water not currently collected needs to be collected but also afterwards be treated. For the treatment, it is separated in "equipment in place" and performance of the equipment i.e. "monitoring results meet requirements". The DTT on collection is added to the DTT for article 4 and where relevant article 5. DTT for "monitoring results meet requirements" generally include also DTT "equipment in place" because it is rarely possible to reach the performance without equipment.  There are however some exceptions because some specific secondary treatment allow good performance on nutrient removal or because under UWWTD it is not required to report monitoring results for more stringent treatment in case of discharge in catchment of sensitive areas. The DTT refered to in part "pending deadline" of the tables refers to situations where the agglomerations have still pending deadline and do not need currently to reach this level of equipment respectively performance. It allow also see separately the remaining effort necessary for those agglomerations.</t>
    </r>
  </si>
  <si>
    <t xml:space="preserve">monitoring results meet requirements </t>
  </si>
  <si>
    <t>(sheet distance to target &amp; summary installation in place) For waste water treatment, it is necessary to reach a so called "Minimum percentage of reduction in relation to the load of the influent." (table 1 and 2 of annexe I of UWWTD) for parameters BOD5 and COD for secondary treatment and in addition for parameters Ntot and/or Ptot and / or other parameter for more stringent treatment. Member States have to monitor these parameters. When the minimum percentage is reached for one of the parameters, it is summarised in the reporting by a simple word: "pass" and when not by "fail". In sheet "distance to target" these information are used to calculate if, for a waste water treatment plant, the monitoring results meet UWWTD requirements. This is the case only if all parameters for this level of treatment (secondary or more stringent) are = "pass". In sheet "summary installation in place" these information are used to calculate if, for a waste water treatment plant, the monitoring results reported meet the specific level of treatment (secondary respectively more stringent), with no consideration of UWWTD requirements, i.e. including cases in which it is not required by the UWWTD. For agglomerations without obligations under the Directive, it is not mandatory to report monitoring results, this is why generally there is a significant difference between equipment and monitoring results for article 5 in sheet summary installation in place.</t>
  </si>
  <si>
    <t>average discharge concentration</t>
  </si>
  <si>
    <t>(sheet UWWTP Level)  this is a figure calculated in the register using discharged load of the treatment plant per parameter (BOD, COD, Ntot and Ptot) declared divided by the volume of waste water treated (m3/y) and expressed in mg/l.</t>
  </si>
  <si>
    <t>average incoming concentration</t>
  </si>
  <si>
    <t>(sheet UWWTP Level) this is a figure calculated in the register using incoming load per parameter (BOD, COD, Ntot and Ptot) entering the treatment plant declared divided by the volume of waste water treated (m3/y) and expressed in mg/l.</t>
  </si>
  <si>
    <t>global compliance</t>
  </si>
  <si>
    <t>(sheet agglomeration level) Final compliance result for the agglomeration using the hierarchical approach, including collection and (applicable) treatment level but adapted in the case of agglomerations discharging into Article 5.4 SA. In this case a "virtual" compliance (for "Article 5 (only)") is calculated at agglomeration's level. This calculation enables to obtain different geographical aggregations (region, MS on compliance with Article 5) for the needs of the implementation report, which otherwise would not be feasible.</t>
  </si>
  <si>
    <t>hierarchical approach</t>
  </si>
  <si>
    <t>(sheet agglomeration level) The hierarchical approach means that non-compliance with Article 3 (collection) entails non- compliance with Article 4 (secondary treatment) and Article 5 (more stringent treatment), when applicable even if the requirements of Articles 4 and 5 (only) are met. In the sheet, compliance by article "only", i.e., in isolation from other articles is firstly presented and then compliance considering the hierarchical approach for the article (4 and/or 5).</t>
  </si>
  <si>
    <t>legal compliance</t>
  </si>
  <si>
    <t>(sheet Agglomeration legal compliance) Compliance by article and compliance combining the Articles, including the hierarchical approach, using the exact rules of UWWTD. "Legal compliance" is different to "compliance" and "global compliance" in agglomerations discharging into Article 5.4 SA for article 5.</t>
  </si>
  <si>
    <t>target collection/secondary/more stringent</t>
  </si>
  <si>
    <t>(sheet distance to target) It is the value (expressed in total p.e. and percentage of collected load) which should ultimately be reached for each Article (3, 4 and 5) under “full compliance” requirements, at MS level.</t>
  </si>
  <si>
    <t>equipment in place</t>
  </si>
  <si>
    <t>(sheet distance to target &amp; summary installation in place) For waste water treatment, it is necessary under article 4 to "ensure that urban waste water entering collecting systems shall before discharge be subject to secondary treatment" and respectively under article 5 "ensure that urban waste water entering collecting systems shall before discharge into sensitive areas be subject to more stringent treatment". Member States have to report the treatment for each of their treatment plant in categories "primary", "secondary", "Other" (for more stringent treatment) and details for more stringent in categories "Nremoval", "Premoval", "UV", "Chlorination", "ozonation", "sand filtration", "microfiltration"  and "other". In sheet "distance to target" these information are used to calculate if, for a waste water treatment plant, the equipment reported (in place) meet UWWTD requirements. This is the case only if all equipment for this level of treatment (secondary or more stringent) are reported. In sheet "summary installation in place" these information are used to calculate if, for a waste water treatment plant, the equipment reported (in place) meet the specific level of treatment (secondary respectively more stringent), with no consideration of UWWTD requirements, i.e. including cases in which it is not required by the UWWTD.</t>
  </si>
  <si>
    <t>Big city</t>
  </si>
  <si>
    <t>‘Big city’: agglomeration or group of agglomerations with more than 150,000 p.e. where the waste water load is mainly of urban origin. (“Terms and Definitions of the Urban Waste Water Treatment Directive” 91/271/EEC, EC, 2007:  https://ec.europa.eu/environment/water/water-urbanwaste/info/pdf/terms.pdf)</t>
  </si>
  <si>
    <t>Big discharger</t>
  </si>
  <si>
    <t>‘Big discharger’: agglomeration or group of agglomerations with more than 150,000 p.e. where the waste water load is not necessarily generated just by inhabitants, but also by industrial activities.  (“Terms and Definitions of the Urban Waste Water Treatment Directive” 91/271/EEC, EC, 2007:  https://ec.europa.eu/environment/water/water-urbanwaste/info/pdf/terms.pdf)</t>
  </si>
  <si>
    <t>List of register tables and summary description</t>
  </si>
  <si>
    <t>Table name</t>
  </si>
  <si>
    <t>Description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</si>
</sst>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 _€_-;\-* #,##0.00\ _€_-;_-* &quot;-&quot;??\ _€_-;_-@_-"/>
    <numFmt numFmtId="164" formatCode="0.0"/>
    <numFmt numFmtId="165" formatCode="[&gt;=0.01]#,##0%;[&lt;0.01]0.0%"/>
    <numFmt numFmtId="166" formatCode="#,##0.0"/>
    <numFmt numFmtId="167" formatCode="#,##0.0_ ;\-#,##0.0\ "/>
    <numFmt numFmtId="168" formatCode="0.0%"/>
    <numFmt numFmtId="169" formatCode="_-* #,##0\ _€_-;\-* #,##0\ _€_-;_-* &quot;-&quot;??\ _€_-;_-@_-"/>
    <numFmt numFmtId="170" formatCode="#,##0_ ;\-#,##0\ "/>
  </numFmts>
  <fonts count="22" x14ac:knownFonts="1">
    <font>
      <sz val="11"/>
      <color theme="1"/>
      <name val="Calibri"/>
      <family val="2"/>
      <scheme val="minor"/>
    </font>
    <font>
      <sz val="11"/>
      <color rgb="FF000000"/>
      <name val="Calibri"/>
      <family val="2"/>
    </font>
    <font>
      <sz val="10"/>
      <color rgb="FF000000"/>
      <name val="Verdana"/>
      <family val="2"/>
    </font>
    <font>
      <b/>
      <sz val="10"/>
      <color theme="0"/>
      <name val="Verdana"/>
      <family val="2"/>
    </font>
    <font>
      <i/>
      <sz val="10"/>
      <color rgb="FF000000"/>
      <name val="Verdana"/>
      <family val="2"/>
    </font>
    <font>
      <b/>
      <sz val="10"/>
      <color rgb="FF000000"/>
      <name val="Verdana"/>
      <family val="2"/>
    </font>
    <font>
      <b/>
      <sz val="20"/>
      <color rgb="FF000000"/>
      <name val="Verdana"/>
      <family val="2"/>
    </font>
    <font>
      <b/>
      <i/>
      <sz val="10"/>
      <color theme="0"/>
      <name val="Verdana"/>
      <family val="2"/>
    </font>
    <font>
      <b/>
      <sz val="10"/>
      <color theme="1"/>
      <name val="Verdana"/>
      <family val="2"/>
    </font>
    <font>
      <sz val="10"/>
      <color theme="1"/>
      <name val="Verdana"/>
      <family val="2"/>
    </font>
    <font>
      <b/>
      <i/>
      <sz val="10"/>
      <color rgb="FF000000"/>
      <name val="Verdana"/>
      <family val="2"/>
    </font>
    <font>
      <sz val="11"/>
      <color theme="1"/>
      <name val="Calibri"/>
      <family val="2"/>
      <scheme val="minor"/>
    </font>
    <font>
      <b/>
      <sz val="11"/>
      <color theme="1"/>
      <name val="Calibri"/>
      <family val="2"/>
      <scheme val="minor"/>
    </font>
    <font>
      <b/>
      <sz val="16"/>
      <color theme="1"/>
      <name val="Calibri"/>
      <family val="2"/>
      <scheme val="minor"/>
    </font>
    <font>
      <sz val="11"/>
      <name val="Calibri"/>
      <family val="2"/>
      <scheme val="minor"/>
    </font>
    <font>
      <sz val="11"/>
      <name val="Calibri"/>
      <family val="2"/>
    </font>
    <font>
      <b/>
      <sz val="11"/>
      <color rgb="FF000000"/>
      <name val="Calibri"/>
      <family val="2"/>
    </font>
    <font>
      <i/>
      <sz val="11"/>
      <name val="Calibri"/>
      <family val="2"/>
      <scheme val="minor"/>
    </font>
    <font>
      <b/>
      <sz val="22"/>
      <color theme="0"/>
      <name val="Calibri"/>
      <family val="2"/>
    </font>
    <font>
      <b/>
      <sz val="14"/>
      <color theme="1"/>
      <name val="Calibri"/>
      <family val="2"/>
      <scheme val="minor"/>
    </font>
    <font>
      <b/>
      <sz val="14"/>
      <color theme="0"/>
      <name val="Calibri"/>
      <family val="2"/>
    </font>
    <font>
      <b/>
      <sz val="11"/>
      <name val="Calibri"/>
      <family val="2"/>
      <scheme val="minor"/>
    </font>
  </fonts>
  <fills count="9">
    <fill>
      <patternFill patternType="none"/>
    </fill>
    <fill>
      <patternFill patternType="gray125"/>
    </fill>
    <fill>
      <patternFill patternType="solid">
        <fgColor rgb="FF43707D"/>
        <bgColor indexed="64"/>
      </patternFill>
    </fill>
    <fill>
      <patternFill patternType="solid">
        <fgColor rgb="FF43707D"/>
        <bgColor rgb="FFFFFFFF"/>
      </patternFill>
    </fill>
    <fill>
      <patternFill patternType="solid">
        <fgColor rgb="FFFFFF00"/>
        <bgColor indexed="64"/>
      </patternFill>
    </fill>
    <fill>
      <patternFill patternType="solid">
        <fgColor rgb="FFF2F2F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4"/>
        <bgColor theme="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style="thin">
        <color indexed="64"/>
      </top>
      <bottom/>
      <diagonal/>
    </border>
    <border>
      <left/>
      <right style="medium">
        <color indexed="64"/>
      </right>
      <top/>
      <bottom/>
      <diagonal/>
    </border>
    <border>
      <left/>
      <right/>
      <top style="thin">
        <color indexed="64"/>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top style="thin">
        <color indexed="64"/>
      </top>
      <bottom/>
      <diagonal/>
    </border>
    <border>
      <left/>
      <right/>
      <top style="medium">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thin">
        <color rgb="FF000000"/>
      </right>
      <top/>
      <bottom style="medium">
        <color indexed="64"/>
      </bottom>
      <diagonal/>
    </border>
    <border>
      <left style="thin">
        <color rgb="FF000000"/>
      </left>
      <right/>
      <top style="thin">
        <color rgb="FF000000"/>
      </top>
      <bottom style="thin">
        <color rgb="FF000000"/>
      </bottom>
      <diagonal/>
    </border>
    <border>
      <left style="medium">
        <color indexed="64"/>
      </left>
      <right style="thin">
        <color rgb="FF000000"/>
      </right>
      <top/>
      <bottom/>
      <diagonal/>
    </border>
    <border>
      <left style="medium">
        <color indexed="64"/>
      </left>
      <right style="thin">
        <color rgb="FF000000"/>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rgb="FF000000"/>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medium">
        <color indexed="64"/>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right style="medium">
        <color rgb="FF000000"/>
      </right>
      <top style="medium">
        <color indexed="64"/>
      </top>
      <bottom/>
      <diagonal/>
    </border>
    <border>
      <left style="medium">
        <color rgb="FF000000"/>
      </left>
      <right/>
      <top style="medium">
        <color indexed="64"/>
      </top>
      <bottom/>
      <diagonal/>
    </border>
    <border>
      <left style="medium">
        <color indexed="64"/>
      </left>
      <right style="medium">
        <color indexed="64"/>
      </right>
      <top/>
      <bottom style="medium">
        <color rgb="FF000000"/>
      </bottom>
      <diagonal/>
    </border>
    <border>
      <left/>
      <right style="thin">
        <color indexed="64"/>
      </right>
      <top style="thin">
        <color indexed="64"/>
      </top>
      <bottom style="thin">
        <color indexed="64"/>
      </bottom>
      <diagonal/>
    </border>
    <border>
      <left style="thin">
        <color rgb="FF000000"/>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rgb="FF000000"/>
      </left>
      <right/>
      <top style="medium">
        <color indexed="64"/>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diagonal/>
    </border>
    <border>
      <left/>
      <right style="thin">
        <color indexed="64"/>
      </right>
      <top/>
      <bottom/>
      <diagonal/>
    </border>
  </borders>
  <cellStyleXfs count="6">
    <xf numFmtId="0" fontId="0"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9" fontId="11" fillId="0" borderId="0" applyFont="0" applyFill="0" applyBorder="0" applyAlignment="0" applyProtection="0"/>
  </cellStyleXfs>
  <cellXfs count="223">
    <xf numFmtId="0" fontId="0" fillId="0" borderId="0" xfId="0"/>
    <xf numFmtId="0" fontId="2" fillId="0" borderId="0" xfId="1" applyFont="1"/>
    <xf numFmtId="0" fontId="2" fillId="0" borderId="1" xfId="1" applyFont="1" applyFill="1" applyBorder="1"/>
    <xf numFmtId="164" fontId="2" fillId="0" borderId="1" xfId="1" applyNumberFormat="1" applyFont="1" applyFill="1" applyBorder="1"/>
    <xf numFmtId="164" fontId="2" fillId="0" borderId="1" xfId="1" applyNumberFormat="1" applyFont="1" applyBorder="1"/>
    <xf numFmtId="3" fontId="2" fillId="0" borderId="1" xfId="1" applyNumberFormat="1" applyFont="1" applyBorder="1"/>
    <xf numFmtId="0" fontId="2" fillId="0" borderId="1" xfId="1" applyFont="1" applyBorder="1"/>
    <xf numFmtId="164" fontId="2" fillId="0" borderId="1" xfId="1" quotePrefix="1" applyNumberFormat="1" applyFont="1" applyFill="1" applyBorder="1"/>
    <xf numFmtId="3" fontId="2" fillId="0" borderId="1" xfId="1" applyNumberFormat="1" applyFont="1" applyFill="1" applyBorder="1"/>
    <xf numFmtId="0" fontId="3" fillId="2" borderId="1" xfId="2" applyFont="1" applyFill="1" applyBorder="1" applyAlignment="1">
      <alignment vertical="center" textRotation="90" wrapText="1"/>
    </xf>
    <xf numFmtId="165" fontId="4" fillId="0" borderId="1" xfId="3" applyNumberFormat="1" applyFont="1" applyFill="1" applyBorder="1" applyAlignment="1">
      <alignment vertical="center"/>
    </xf>
    <xf numFmtId="9" fontId="2" fillId="0" borderId="0" xfId="3" applyFont="1" applyFill="1"/>
    <xf numFmtId="0" fontId="5" fillId="0" borderId="0" xfId="1" applyFont="1"/>
    <xf numFmtId="0" fontId="6" fillId="0" borderId="0" xfId="1" applyFont="1"/>
    <xf numFmtId="3" fontId="5" fillId="0" borderId="4" xfId="2" applyNumberFormat="1" applyFont="1" applyFill="1" applyBorder="1" applyAlignment="1">
      <alignment horizontal="center" vertical="center"/>
    </xf>
    <xf numFmtId="3" fontId="2" fillId="0" borderId="5" xfId="2" applyNumberFormat="1" applyFont="1" applyFill="1" applyBorder="1" applyAlignment="1">
      <alignment vertical="center"/>
    </xf>
    <xf numFmtId="166" fontId="2" fillId="0" borderId="5" xfId="2" applyNumberFormat="1" applyFont="1" applyFill="1" applyBorder="1" applyAlignment="1">
      <alignment vertical="center"/>
    </xf>
    <xf numFmtId="3" fontId="2" fillId="0" borderId="5" xfId="2" applyNumberFormat="1" applyFont="1" applyFill="1" applyBorder="1" applyAlignment="1">
      <alignment horizontal="center" vertical="center"/>
    </xf>
    <xf numFmtId="0" fontId="2" fillId="0" borderId="6" xfId="1" applyFont="1" applyBorder="1" applyAlignment="1">
      <alignment horizontal="left" vertical="center"/>
    </xf>
    <xf numFmtId="3" fontId="5" fillId="0" borderId="7" xfId="2" applyNumberFormat="1" applyFont="1" applyFill="1" applyBorder="1" applyAlignment="1">
      <alignment horizontal="center" vertical="center"/>
    </xf>
    <xf numFmtId="3" fontId="2" fillId="0" borderId="8" xfId="2" applyNumberFormat="1" applyFont="1" applyFill="1" applyBorder="1" applyAlignment="1">
      <alignment vertical="center"/>
    </xf>
    <xf numFmtId="166" fontId="2" fillId="0" borderId="8" xfId="2" applyNumberFormat="1" applyFont="1" applyFill="1" applyBorder="1" applyAlignment="1">
      <alignment vertical="center"/>
    </xf>
    <xf numFmtId="0" fontId="2" fillId="0" borderId="9" xfId="1" applyFont="1" applyBorder="1" applyAlignment="1">
      <alignment horizontal="left" vertical="center"/>
    </xf>
    <xf numFmtId="0" fontId="5" fillId="0" borderId="10" xfId="2" applyFont="1" applyFill="1" applyBorder="1" applyAlignment="1">
      <alignment vertical="center"/>
    </xf>
    <xf numFmtId="3" fontId="2" fillId="0" borderId="11" xfId="2" applyNumberFormat="1" applyFont="1" applyFill="1" applyBorder="1" applyAlignment="1">
      <alignment horizontal="center" vertical="center"/>
    </xf>
    <xf numFmtId="0" fontId="2" fillId="0" borderId="12" xfId="1" applyFont="1" applyBorder="1" applyAlignment="1">
      <alignment horizontal="left" vertical="center"/>
    </xf>
    <xf numFmtId="3" fontId="2" fillId="0" borderId="13" xfId="2" applyNumberFormat="1" applyFont="1" applyFill="1" applyBorder="1" applyAlignment="1">
      <alignment horizontal="center" vertical="center"/>
    </xf>
    <xf numFmtId="0" fontId="2" fillId="0" borderId="0" xfId="1" applyFont="1" applyAlignment="1">
      <alignment horizontal="left" vertical="center"/>
    </xf>
    <xf numFmtId="0" fontId="2" fillId="0" borderId="14" xfId="1" applyFont="1" applyBorder="1" applyAlignment="1">
      <alignment horizontal="left" vertical="center"/>
    </xf>
    <xf numFmtId="0" fontId="5" fillId="0" borderId="15" xfId="2" applyFont="1" applyFill="1" applyBorder="1" applyAlignment="1">
      <alignment vertical="center"/>
    </xf>
    <xf numFmtId="0" fontId="5" fillId="0" borderId="16" xfId="2" applyFont="1" applyFill="1" applyBorder="1" applyAlignment="1">
      <alignment vertical="center"/>
    </xf>
    <xf numFmtId="0" fontId="3" fillId="3" borderId="17" xfId="2" applyFont="1" applyFill="1" applyBorder="1" applyAlignment="1">
      <alignment horizontal="center" vertical="center"/>
    </xf>
    <xf numFmtId="0" fontId="3" fillId="3" borderId="0" xfId="2" applyFont="1" applyFill="1" applyAlignment="1">
      <alignment horizontal="center" vertical="center" wrapText="1"/>
    </xf>
    <xf numFmtId="0" fontId="3" fillId="3" borderId="18" xfId="2" applyFont="1" applyFill="1" applyBorder="1" applyAlignment="1">
      <alignment horizontal="center" vertical="center" wrapText="1"/>
    </xf>
    <xf numFmtId="0" fontId="3" fillId="3" borderId="19" xfId="2" applyFont="1" applyFill="1" applyBorder="1" applyAlignment="1">
      <alignment horizontal="center" vertical="center" wrapText="1"/>
    </xf>
    <xf numFmtId="0" fontId="2" fillId="0" borderId="0" xfId="1" applyFont="1" applyFill="1" applyBorder="1"/>
    <xf numFmtId="9" fontId="2" fillId="0" borderId="0" xfId="3" applyNumberFormat="1" applyFont="1" applyFill="1"/>
    <xf numFmtId="0" fontId="2" fillId="0" borderId="24" xfId="1" applyFont="1" applyFill="1" applyBorder="1" applyAlignment="1">
      <alignment horizontal="center" vertical="center"/>
    </xf>
    <xf numFmtId="0" fontId="2" fillId="0" borderId="26" xfId="1" applyFont="1" applyFill="1" applyBorder="1" applyAlignment="1">
      <alignment horizontal="center" vertical="center"/>
    </xf>
    <xf numFmtId="0" fontId="2" fillId="0" borderId="16" xfId="1" applyFont="1" applyFill="1" applyBorder="1" applyAlignment="1">
      <alignment horizontal="center" vertical="center"/>
    </xf>
    <xf numFmtId="0" fontId="2" fillId="0" borderId="27" xfId="1" applyFont="1" applyBorder="1" applyAlignment="1">
      <alignment horizontal="center" vertical="center"/>
    </xf>
    <xf numFmtId="0" fontId="7" fillId="2" borderId="1" xfId="2" applyFont="1" applyFill="1" applyBorder="1" applyAlignment="1">
      <alignment horizontal="center" vertical="center" wrapText="1"/>
    </xf>
    <xf numFmtId="0" fontId="2" fillId="0" borderId="0" xfId="1" applyFont="1" applyFill="1"/>
    <xf numFmtId="0" fontId="5" fillId="0" borderId="0" xfId="1" applyFont="1" applyFill="1"/>
    <xf numFmtId="0" fontId="2" fillId="0" borderId="0" xfId="1" applyFont="1" applyAlignment="1"/>
    <xf numFmtId="0" fontId="5" fillId="0" borderId="32" xfId="1" applyFont="1" applyFill="1" applyBorder="1" applyAlignment="1">
      <alignment horizontal="center"/>
    </xf>
    <xf numFmtId="0" fontId="5" fillId="0" borderId="33" xfId="1" applyFont="1" applyBorder="1" applyAlignment="1">
      <alignment horizontal="center"/>
    </xf>
    <xf numFmtId="0" fontId="5" fillId="0" borderId="34" xfId="1" applyFont="1" applyBorder="1" applyAlignment="1">
      <alignment horizontal="center"/>
    </xf>
    <xf numFmtId="9" fontId="2" fillId="0" borderId="0" xfId="3" applyFont="1"/>
    <xf numFmtId="167" fontId="2" fillId="0" borderId="35" xfId="1" applyNumberFormat="1" applyFont="1" applyFill="1" applyBorder="1" applyAlignment="1">
      <alignment horizontal="center" vertical="center"/>
    </xf>
    <xf numFmtId="167" fontId="2" fillId="0" borderId="36" xfId="1" applyNumberFormat="1" applyFont="1" applyFill="1" applyBorder="1" applyAlignment="1">
      <alignment horizontal="center" vertical="center"/>
    </xf>
    <xf numFmtId="0" fontId="2" fillId="0" borderId="36" xfId="1" applyFont="1" applyFill="1" applyBorder="1" applyAlignment="1">
      <alignment horizontal="center" vertical="center"/>
    </xf>
    <xf numFmtId="167" fontId="2" fillId="0" borderId="38" xfId="1" applyNumberFormat="1" applyFont="1" applyFill="1" applyBorder="1" applyAlignment="1">
      <alignment horizontal="center" vertical="center"/>
    </xf>
    <xf numFmtId="0" fontId="2" fillId="0" borderId="38" xfId="1" applyFont="1" applyFill="1" applyBorder="1" applyAlignment="1">
      <alignment horizontal="center" vertical="center"/>
    </xf>
    <xf numFmtId="167" fontId="2" fillId="0" borderId="39" xfId="1" applyNumberFormat="1" applyFont="1" applyFill="1" applyBorder="1" applyAlignment="1">
      <alignment horizontal="center" vertical="center"/>
    </xf>
    <xf numFmtId="0" fontId="2" fillId="0" borderId="39" xfId="1" applyFont="1" applyFill="1" applyBorder="1" applyAlignment="1">
      <alignment horizontal="center" vertical="center"/>
    </xf>
    <xf numFmtId="0" fontId="2" fillId="0" borderId="42" xfId="1" applyFont="1" applyFill="1" applyBorder="1" applyAlignment="1">
      <alignment horizontal="center" vertical="center"/>
    </xf>
    <xf numFmtId="168" fontId="2" fillId="0" borderId="0" xfId="3" applyNumberFormat="1" applyFont="1"/>
    <xf numFmtId="0" fontId="2" fillId="0" borderId="0" xfId="1" applyFont="1" applyFill="1" applyBorder="1" applyAlignment="1">
      <alignment wrapText="1"/>
    </xf>
    <xf numFmtId="166" fontId="2" fillId="0" borderId="1" xfId="1" applyNumberFormat="1" applyFont="1" applyBorder="1" applyAlignment="1">
      <alignment vertical="center" wrapText="1"/>
    </xf>
    <xf numFmtId="166" fontId="2" fillId="0" borderId="0" xfId="1" applyNumberFormat="1" applyFont="1"/>
    <xf numFmtId="169" fontId="2" fillId="0" borderId="0" xfId="1" applyNumberFormat="1" applyFont="1"/>
    <xf numFmtId="1" fontId="8" fillId="0" borderId="6" xfId="2" applyNumberFormat="1" applyFont="1" applyFill="1" applyBorder="1" applyAlignment="1">
      <alignment horizontal="center" vertical="center"/>
    </xf>
    <xf numFmtId="170" fontId="9" fillId="0" borderId="12" xfId="4" applyNumberFormat="1" applyFont="1" applyFill="1" applyBorder="1" applyAlignment="1">
      <alignment horizontal="center" vertical="center"/>
    </xf>
    <xf numFmtId="170" fontId="2" fillId="0" borderId="43" xfId="4" applyNumberFormat="1" applyFont="1" applyFill="1" applyBorder="1" applyAlignment="1">
      <alignment horizontal="center" vertical="center"/>
    </xf>
    <xf numFmtId="0" fontId="5" fillId="0" borderId="43" xfId="2" applyFont="1" applyFill="1" applyBorder="1" applyAlignment="1">
      <alignment horizontal="center" vertical="center" wrapText="1"/>
    </xf>
    <xf numFmtId="1" fontId="8" fillId="0" borderId="9" xfId="2" applyNumberFormat="1" applyFont="1" applyFill="1" applyBorder="1" applyAlignment="1">
      <alignment horizontal="center" vertical="center"/>
    </xf>
    <xf numFmtId="170" fontId="9" fillId="0" borderId="0" xfId="4" applyNumberFormat="1" applyFont="1" applyFill="1" applyBorder="1" applyAlignment="1">
      <alignment horizontal="center" vertical="center"/>
    </xf>
    <xf numFmtId="170" fontId="2" fillId="0" borderId="44" xfId="4" applyNumberFormat="1" applyFont="1" applyFill="1" applyBorder="1" applyAlignment="1">
      <alignment horizontal="center" vertical="center"/>
    </xf>
    <xf numFmtId="0" fontId="5" fillId="0" borderId="44" xfId="2" applyFont="1" applyFill="1" applyBorder="1" applyAlignment="1">
      <alignment horizontal="center" vertical="center" wrapText="1"/>
    </xf>
    <xf numFmtId="1" fontId="8" fillId="0" borderId="45" xfId="2" applyNumberFormat="1" applyFont="1" applyFill="1" applyBorder="1" applyAlignment="1">
      <alignment horizontal="center" vertical="center"/>
    </xf>
    <xf numFmtId="170" fontId="9" fillId="0" borderId="46" xfId="4" applyNumberFormat="1" applyFont="1" applyFill="1" applyBorder="1" applyAlignment="1">
      <alignment horizontal="center" vertical="center"/>
    </xf>
    <xf numFmtId="170" fontId="2" fillId="0" borderId="29" xfId="4" applyNumberFormat="1" applyFont="1" applyFill="1" applyBorder="1" applyAlignment="1">
      <alignment horizontal="center" vertical="center"/>
    </xf>
    <xf numFmtId="0" fontId="5" fillId="0" borderId="29"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2" fillId="5" borderId="0" xfId="1" applyFont="1" applyFill="1" applyBorder="1" applyAlignment="1">
      <alignment horizontal="center" vertical="center" wrapText="1"/>
    </xf>
    <xf numFmtId="0" fontId="2" fillId="0" borderId="0" xfId="2" applyFont="1"/>
    <xf numFmtId="0" fontId="3" fillId="3" borderId="9" xfId="2" applyFont="1" applyFill="1" applyBorder="1" applyAlignment="1">
      <alignment horizontal="center" vertical="center" wrapText="1"/>
    </xf>
    <xf numFmtId="0" fontId="3" fillId="3" borderId="0" xfId="2" applyFont="1" applyFill="1" applyBorder="1" applyAlignment="1">
      <alignment horizontal="center" vertical="center" wrapText="1"/>
    </xf>
    <xf numFmtId="0" fontId="3" fillId="3" borderId="44" xfId="2" applyFont="1" applyFill="1" applyBorder="1" applyAlignment="1">
      <alignment horizontal="center" vertical="center" wrapText="1"/>
    </xf>
    <xf numFmtId="0" fontId="2" fillId="0" borderId="0" xfId="1" applyFont="1" applyAlignment="1">
      <alignment vertical="center"/>
    </xf>
    <xf numFmtId="1" fontId="5" fillId="0" borderId="6" xfId="2" applyNumberFormat="1" applyFont="1" applyFill="1" applyBorder="1" applyAlignment="1">
      <alignment horizontal="center" vertical="center"/>
    </xf>
    <xf numFmtId="3" fontId="2" fillId="0" borderId="12" xfId="2" applyNumberFormat="1" applyFont="1" applyFill="1" applyBorder="1" applyAlignment="1">
      <alignment horizontal="center" vertical="center"/>
    </xf>
    <xf numFmtId="164" fontId="2" fillId="0" borderId="6" xfId="2" applyNumberFormat="1" applyFont="1" applyFill="1" applyBorder="1" applyAlignment="1">
      <alignment horizontal="center" vertical="center"/>
    </xf>
    <xf numFmtId="3" fontId="2" fillId="0" borderId="43" xfId="2" applyNumberFormat="1" applyFont="1" applyFill="1" applyBorder="1" applyAlignment="1">
      <alignment horizontal="center" vertical="center"/>
    </xf>
    <xf numFmtId="1" fontId="5" fillId="0" borderId="9" xfId="2" applyNumberFormat="1" applyFont="1" applyFill="1" applyBorder="1" applyAlignment="1">
      <alignment horizontal="center" vertical="center"/>
    </xf>
    <xf numFmtId="3" fontId="2" fillId="0" borderId="0" xfId="2" applyNumberFormat="1" applyFont="1" applyFill="1" applyAlignment="1">
      <alignment horizontal="center" vertical="center"/>
    </xf>
    <xf numFmtId="164" fontId="2" fillId="0" borderId="9" xfId="2" applyNumberFormat="1" applyFont="1" applyFill="1" applyBorder="1" applyAlignment="1">
      <alignment horizontal="center" vertical="center"/>
    </xf>
    <xf numFmtId="3" fontId="2" fillId="0" borderId="0" xfId="2" applyNumberFormat="1" applyFont="1" applyFill="1" applyBorder="1" applyAlignment="1">
      <alignment horizontal="center" vertical="center"/>
    </xf>
    <xf numFmtId="3" fontId="2" fillId="0" borderId="44" xfId="2" applyNumberFormat="1" applyFont="1" applyFill="1" applyBorder="1" applyAlignment="1">
      <alignment horizontal="center" vertical="center"/>
    </xf>
    <xf numFmtId="3" fontId="2" fillId="0" borderId="29" xfId="2" applyNumberFormat="1" applyFont="1" applyFill="1" applyBorder="1" applyAlignment="1">
      <alignment horizontal="center" vertical="center"/>
    </xf>
    <xf numFmtId="0" fontId="3" fillId="3" borderId="6" xfId="2" applyFont="1" applyFill="1" applyBorder="1" applyAlignment="1">
      <alignment horizontal="center" vertical="center" wrapText="1"/>
    </xf>
    <xf numFmtId="0" fontId="3" fillId="3" borderId="12" xfId="2" applyFont="1" applyFill="1" applyBorder="1" applyAlignment="1">
      <alignment horizontal="center" vertical="center" wrapText="1"/>
    </xf>
    <xf numFmtId="0" fontId="2" fillId="4" borderId="0" xfId="1" applyFont="1" applyFill="1"/>
    <xf numFmtId="9" fontId="0" fillId="0" borderId="0" xfId="3" applyFont="1"/>
    <xf numFmtId="166" fontId="1" fillId="0" borderId="1" xfId="1" applyNumberFormat="1" applyFont="1" applyBorder="1" applyAlignment="1">
      <alignment vertical="center" wrapText="1"/>
    </xf>
    <xf numFmtId="0" fontId="5" fillId="0" borderId="1" xfId="1" applyFont="1" applyBorder="1" applyAlignment="1">
      <alignment vertical="center" wrapText="1"/>
    </xf>
    <xf numFmtId="166" fontId="1" fillId="0" borderId="1" xfId="1" applyNumberFormat="1" applyFont="1" applyFill="1" applyBorder="1" applyAlignment="1">
      <alignment vertical="center" wrapText="1"/>
    </xf>
    <xf numFmtId="3" fontId="1" fillId="0" borderId="0" xfId="1" applyNumberFormat="1" applyFill="1"/>
    <xf numFmtId="165" fontId="4" fillId="0" borderId="1" xfId="3" applyNumberFormat="1" applyFont="1" applyFill="1" applyBorder="1" applyAlignment="1">
      <alignment vertical="center" wrapText="1"/>
    </xf>
    <xf numFmtId="3" fontId="10" fillId="0" borderId="1" xfId="1" applyNumberFormat="1" applyFont="1" applyBorder="1" applyAlignment="1">
      <alignment vertical="center" wrapText="1"/>
    </xf>
    <xf numFmtId="3" fontId="5" fillId="0" borderId="1" xfId="1" applyNumberFormat="1" applyFont="1" applyBorder="1" applyAlignment="1">
      <alignment vertical="center" wrapText="1"/>
    </xf>
    <xf numFmtId="9" fontId="4" fillId="0" borderId="1" xfId="3" applyFont="1" applyFill="1" applyBorder="1" applyAlignment="1">
      <alignment vertical="center" wrapText="1"/>
    </xf>
    <xf numFmtId="3" fontId="2" fillId="0" borderId="1" xfId="1" applyNumberFormat="1" applyFont="1" applyBorder="1" applyAlignment="1">
      <alignment vertical="center" wrapText="1"/>
    </xf>
    <xf numFmtId="0" fontId="2" fillId="0" borderId="1" xfId="1" applyFont="1" applyBorder="1" applyAlignment="1">
      <alignment vertical="center" wrapText="1"/>
    </xf>
    <xf numFmtId="0" fontId="7" fillId="2" borderId="1" xfId="2" applyFont="1" applyFill="1" applyBorder="1" applyAlignment="1">
      <alignment horizontal="center" wrapText="1"/>
    </xf>
    <xf numFmtId="0" fontId="3" fillId="2" borderId="1" xfId="2" applyFont="1" applyFill="1" applyBorder="1" applyAlignment="1">
      <alignment horizontal="center" wrapText="1"/>
    </xf>
    <xf numFmtId="9" fontId="2" fillId="0" borderId="1" xfId="3" applyFont="1" applyFill="1" applyBorder="1" applyAlignment="1">
      <alignment vertical="center"/>
    </xf>
    <xf numFmtId="3" fontId="2" fillId="0" borderId="1" xfId="1" applyNumberFormat="1" applyFont="1" applyBorder="1" applyAlignment="1">
      <alignment vertical="center"/>
    </xf>
    <xf numFmtId="0" fontId="5" fillId="0" borderId="1" xfId="1" applyFont="1" applyBorder="1" applyAlignment="1">
      <alignment horizontal="right" vertical="center" wrapText="1"/>
    </xf>
    <xf numFmtId="165" fontId="4" fillId="0" borderId="51" xfId="3" applyNumberFormat="1" applyFont="1" applyFill="1" applyBorder="1" applyAlignment="1">
      <alignment vertical="center"/>
    </xf>
    <xf numFmtId="0" fontId="2" fillId="0" borderId="1" xfId="1" applyFont="1" applyBorder="1" applyAlignment="1">
      <alignment horizontal="center"/>
    </xf>
    <xf numFmtId="0" fontId="5" fillId="0" borderId="1" xfId="1" applyFont="1" applyBorder="1"/>
    <xf numFmtId="3" fontId="5" fillId="0" borderId="1" xfId="1" applyNumberFormat="1" applyFont="1" applyBorder="1"/>
    <xf numFmtId="3" fontId="1" fillId="0" borderId="30" xfId="2" applyNumberFormat="1" applyFont="1" applyFill="1" applyBorder="1" applyAlignment="1">
      <alignment horizontal="center" wrapText="1"/>
    </xf>
    <xf numFmtId="3" fontId="1" fillId="0" borderId="29" xfId="1" applyNumberFormat="1" applyFont="1" applyFill="1" applyBorder="1" applyAlignment="1">
      <alignment horizontal="center" wrapText="1"/>
    </xf>
    <xf numFmtId="3" fontId="2" fillId="0" borderId="41" xfId="1" applyNumberFormat="1" applyFont="1" applyFill="1" applyBorder="1" applyAlignment="1">
      <alignment horizontal="center" wrapText="1"/>
    </xf>
    <xf numFmtId="3" fontId="2" fillId="0" borderId="40" xfId="1" applyNumberFormat="1" applyFont="1" applyFill="1" applyBorder="1" applyAlignment="1">
      <alignment horizontal="center" wrapText="1"/>
    </xf>
    <xf numFmtId="3" fontId="2" fillId="0" borderId="31" xfId="1" applyNumberFormat="1" applyFont="1" applyFill="1" applyBorder="1" applyAlignment="1">
      <alignment horizontal="center" wrapText="1"/>
    </xf>
    <xf numFmtId="0" fontId="2" fillId="0" borderId="52" xfId="1" applyFont="1" applyFill="1" applyBorder="1" applyAlignment="1">
      <alignment horizontal="center" vertical="center"/>
    </xf>
    <xf numFmtId="3" fontId="1" fillId="0" borderId="47" xfId="2" applyNumberFormat="1" applyFont="1" applyFill="1" applyBorder="1" applyAlignment="1">
      <alignment horizontal="center" wrapText="1"/>
    </xf>
    <xf numFmtId="3" fontId="1" fillId="0" borderId="44" xfId="1" applyNumberFormat="1" applyFont="1" applyFill="1" applyBorder="1" applyAlignment="1">
      <alignment horizontal="center" wrapText="1"/>
    </xf>
    <xf numFmtId="0" fontId="5" fillId="0" borderId="1" xfId="1" applyFont="1" applyBorder="1" applyAlignment="1">
      <alignment horizontal="center"/>
    </xf>
    <xf numFmtId="0" fontId="2" fillId="0" borderId="1" xfId="1" applyFont="1" applyBorder="1" applyAlignment="1">
      <alignment wrapText="1"/>
    </xf>
    <xf numFmtId="2" fontId="2" fillId="0" borderId="1" xfId="1" applyNumberFormat="1" applyFont="1" applyBorder="1" applyAlignment="1">
      <alignment vertical="center"/>
    </xf>
    <xf numFmtId="1" fontId="2" fillId="0" borderId="1" xfId="1" applyNumberFormat="1" applyFont="1" applyBorder="1" applyAlignment="1">
      <alignment vertical="center"/>
    </xf>
    <xf numFmtId="9" fontId="2" fillId="0" borderId="1" xfId="5" applyFont="1" applyBorder="1" applyAlignment="1">
      <alignment vertical="center"/>
    </xf>
    <xf numFmtId="3" fontId="2" fillId="4" borderId="0" xfId="1" applyNumberFormat="1" applyFont="1" applyFill="1"/>
    <xf numFmtId="0" fontId="2" fillId="0" borderId="57" xfId="1" applyFont="1" applyFill="1" applyBorder="1" applyAlignment="1">
      <alignment horizontal="center" vertical="center"/>
    </xf>
    <xf numFmtId="0" fontId="2" fillId="0" borderId="58" xfId="1" applyFont="1" applyFill="1" applyBorder="1" applyAlignment="1">
      <alignment horizontal="center" vertical="center"/>
    </xf>
    <xf numFmtId="0" fontId="2" fillId="0" borderId="59" xfId="1" applyFont="1" applyFill="1" applyBorder="1" applyAlignment="1">
      <alignment horizontal="center" vertical="center"/>
    </xf>
    <xf numFmtId="0" fontId="2" fillId="0" borderId="60" xfId="1" applyFont="1" applyFill="1" applyBorder="1" applyAlignment="1">
      <alignment horizontal="center" vertical="center"/>
    </xf>
    <xf numFmtId="167" fontId="0" fillId="0" borderId="61" xfId="4" applyNumberFormat="1" applyFont="1" applyFill="1" applyBorder="1" applyAlignment="1">
      <alignment horizontal="center" vertical="center"/>
    </xf>
    <xf numFmtId="167" fontId="0" fillId="0" borderId="62" xfId="4" applyNumberFormat="1" applyFont="1" applyFill="1" applyBorder="1" applyAlignment="1">
      <alignment horizontal="center" vertical="center"/>
    </xf>
    <xf numFmtId="167" fontId="0" fillId="0" borderId="63" xfId="4" applyNumberFormat="1" applyFont="1" applyFill="1" applyBorder="1" applyAlignment="1">
      <alignment horizontal="center" vertical="center"/>
    </xf>
    <xf numFmtId="167" fontId="2" fillId="0" borderId="64" xfId="2" applyNumberFormat="1" applyFont="1" applyFill="1" applyBorder="1" applyAlignment="1">
      <alignment horizontal="center" vertical="center"/>
    </xf>
    <xf numFmtId="167" fontId="2" fillId="0" borderId="65" xfId="2" applyNumberFormat="1" applyFont="1" applyFill="1" applyBorder="1" applyAlignment="1">
      <alignment horizontal="center" vertical="center"/>
    </xf>
    <xf numFmtId="167" fontId="2" fillId="0" borderId="66" xfId="2" applyNumberFormat="1" applyFont="1" applyFill="1" applyBorder="1" applyAlignment="1">
      <alignment horizontal="center" vertical="center"/>
    </xf>
    <xf numFmtId="167" fontId="2" fillId="0" borderId="61" xfId="4" applyNumberFormat="1" applyFont="1" applyFill="1" applyBorder="1" applyAlignment="1">
      <alignment horizontal="center" vertical="center"/>
    </xf>
    <xf numFmtId="167" fontId="2" fillId="0" borderId="62" xfId="4" applyNumberFormat="1" applyFont="1" applyFill="1" applyBorder="1" applyAlignment="1">
      <alignment horizontal="center" vertical="center"/>
    </xf>
    <xf numFmtId="167" fontId="2" fillId="0" borderId="63" xfId="4" applyNumberFormat="1" applyFont="1" applyFill="1" applyBorder="1" applyAlignment="1">
      <alignment horizontal="center" vertical="center"/>
    </xf>
    <xf numFmtId="167" fontId="0" fillId="0" borderId="67" xfId="4" applyNumberFormat="1" applyFont="1" applyFill="1" applyBorder="1" applyAlignment="1">
      <alignment horizontal="center" vertical="center"/>
    </xf>
    <xf numFmtId="167" fontId="0" fillId="0" borderId="68" xfId="4" applyNumberFormat="1" applyFont="1" applyFill="1" applyBorder="1" applyAlignment="1">
      <alignment horizontal="center" vertical="center"/>
    </xf>
    <xf numFmtId="167" fontId="0" fillId="0" borderId="69" xfId="4" applyNumberFormat="1" applyFont="1" applyFill="1" applyBorder="1" applyAlignment="1">
      <alignment horizontal="center" vertical="center"/>
    </xf>
    <xf numFmtId="167" fontId="2" fillId="0" borderId="56" xfId="2" applyNumberFormat="1" applyFont="1" applyFill="1" applyBorder="1" applyAlignment="1">
      <alignment horizontal="center" vertical="center" wrapText="1"/>
    </xf>
    <xf numFmtId="3" fontId="2" fillId="0" borderId="56" xfId="2" applyNumberFormat="1" applyFont="1" applyFill="1" applyBorder="1" applyAlignment="1">
      <alignment horizontal="center" wrapText="1"/>
    </xf>
    <xf numFmtId="3" fontId="2" fillId="0" borderId="56" xfId="1" applyNumberFormat="1" applyFont="1" applyFill="1" applyBorder="1" applyAlignment="1">
      <alignment horizontal="center"/>
    </xf>
    <xf numFmtId="167" fontId="2" fillId="0" borderId="23" xfId="1" applyNumberFormat="1" applyFont="1" applyFill="1" applyBorder="1" applyAlignment="1">
      <alignment horizontal="center" vertical="center"/>
    </xf>
    <xf numFmtId="167" fontId="2" fillId="0" borderId="37" xfId="1" applyNumberFormat="1" applyFont="1" applyFill="1" applyBorder="1" applyAlignment="1">
      <alignment horizontal="center" vertical="center"/>
    </xf>
    <xf numFmtId="0" fontId="13" fillId="0" borderId="0" xfId="0" applyFont="1" applyFill="1"/>
    <xf numFmtId="0" fontId="0" fillId="7" borderId="70" xfId="0" applyFill="1" applyBorder="1"/>
    <xf numFmtId="0" fontId="0" fillId="7" borderId="0" xfId="0" applyFill="1" applyBorder="1"/>
    <xf numFmtId="0" fontId="0" fillId="7" borderId="71" xfId="0" applyFill="1" applyBorder="1"/>
    <xf numFmtId="0" fontId="12" fillId="7" borderId="0" xfId="0" applyFont="1" applyFill="1" applyBorder="1" applyAlignment="1">
      <alignment horizontal="center"/>
    </xf>
    <xf numFmtId="0" fontId="13" fillId="6" borderId="58" xfId="0" applyFont="1" applyFill="1" applyBorder="1" applyAlignment="1">
      <alignment horizontal="left"/>
    </xf>
    <xf numFmtId="0" fontId="13" fillId="6" borderId="10" xfId="0" applyFont="1" applyFill="1" applyBorder="1" applyAlignment="1">
      <alignment horizontal="left"/>
    </xf>
    <xf numFmtId="0" fontId="13" fillId="6" borderId="51" xfId="0" applyFont="1" applyFill="1" applyBorder="1" applyAlignment="1">
      <alignment horizontal="left"/>
    </xf>
    <xf numFmtId="0" fontId="0" fillId="7" borderId="13" xfId="0" applyFill="1" applyBorder="1" applyAlignment="1">
      <alignment horizontal="left" vertical="center" wrapText="1"/>
    </xf>
    <xf numFmtId="0" fontId="0" fillId="7" borderId="8" xfId="0" applyFill="1" applyBorder="1" applyAlignment="1">
      <alignment horizontal="left" vertical="center" wrapText="1"/>
    </xf>
    <xf numFmtId="0" fontId="0" fillId="7" borderId="7" xfId="0" applyFill="1" applyBorder="1" applyAlignment="1">
      <alignment horizontal="left" vertical="center" wrapText="1"/>
    </xf>
    <xf numFmtId="0" fontId="0" fillId="7" borderId="58" xfId="0" applyFill="1" applyBorder="1" applyAlignment="1">
      <alignment horizontal="left" vertical="center" wrapText="1"/>
    </xf>
    <xf numFmtId="0" fontId="0" fillId="7" borderId="10" xfId="0" applyFill="1" applyBorder="1" applyAlignment="1">
      <alignment horizontal="left" vertical="center" wrapText="1"/>
    </xf>
    <xf numFmtId="0" fontId="0" fillId="7" borderId="51" xfId="0" applyFill="1" applyBorder="1" applyAlignment="1">
      <alignment horizontal="left" vertical="center" wrapText="1"/>
    </xf>
    <xf numFmtId="0" fontId="2" fillId="0" borderId="53" xfId="1" applyFont="1" applyBorder="1" applyAlignment="1">
      <alignment horizontal="center" vertical="center"/>
    </xf>
    <xf numFmtId="0" fontId="2" fillId="0" borderId="54" xfId="1" applyFont="1" applyBorder="1" applyAlignment="1">
      <alignment horizontal="center" vertical="center"/>
    </xf>
    <xf numFmtId="0" fontId="2" fillId="0" borderId="55" xfId="1" applyFont="1" applyBorder="1" applyAlignment="1">
      <alignment horizontal="center" vertical="center"/>
    </xf>
    <xf numFmtId="0" fontId="2" fillId="0" borderId="27" xfId="1" applyFont="1" applyBorder="1" applyAlignment="1">
      <alignment horizontal="center" vertical="center"/>
    </xf>
    <xf numFmtId="0" fontId="2" fillId="0" borderId="25" xfId="1" applyFont="1" applyBorder="1" applyAlignment="1">
      <alignment horizontal="center" vertical="center"/>
    </xf>
    <xf numFmtId="0" fontId="3" fillId="3" borderId="30" xfId="2" applyFont="1" applyFill="1" applyBorder="1" applyAlignment="1">
      <alignment horizontal="center" vertical="center" wrapText="1"/>
    </xf>
    <xf numFmtId="0" fontId="3" fillId="3" borderId="47" xfId="2" applyFont="1" applyFill="1" applyBorder="1" applyAlignment="1">
      <alignment horizontal="center" vertical="center" wrapText="1"/>
    </xf>
    <xf numFmtId="0" fontId="3" fillId="3" borderId="50" xfId="2" applyFont="1" applyFill="1" applyBorder="1" applyAlignment="1">
      <alignment horizontal="center" vertical="center" wrapText="1"/>
    </xf>
    <xf numFmtId="0" fontId="3" fillId="3" borderId="29" xfId="2" applyFont="1" applyFill="1" applyBorder="1" applyAlignment="1">
      <alignment horizontal="center" vertical="center"/>
    </xf>
    <xf numFmtId="0" fontId="3" fillId="3" borderId="46" xfId="2" applyFont="1" applyFill="1" applyBorder="1" applyAlignment="1">
      <alignment horizontal="center" vertical="center"/>
    </xf>
    <xf numFmtId="0" fontId="3" fillId="3" borderId="48" xfId="2" applyFont="1" applyFill="1" applyBorder="1" applyAlignment="1">
      <alignment horizontal="center" vertical="center"/>
    </xf>
    <xf numFmtId="0" fontId="2" fillId="0" borderId="28" xfId="1" applyFont="1" applyBorder="1" applyAlignment="1">
      <alignment horizontal="center" vertical="center"/>
    </xf>
    <xf numFmtId="0" fontId="3" fillId="3" borderId="49" xfId="2" applyFont="1" applyFill="1" applyBorder="1" applyAlignment="1">
      <alignment horizontal="center" vertical="center"/>
    </xf>
    <xf numFmtId="0" fontId="5" fillId="0" borderId="34" xfId="1" applyFont="1" applyBorder="1" applyAlignment="1">
      <alignment horizontal="center"/>
    </xf>
    <xf numFmtId="0" fontId="5" fillId="0" borderId="33" xfId="1" applyFont="1" applyBorder="1" applyAlignment="1">
      <alignment horizontal="center"/>
    </xf>
    <xf numFmtId="0" fontId="5" fillId="0" borderId="32" xfId="1" applyFont="1" applyBorder="1" applyAlignment="1">
      <alignment horizontal="center"/>
    </xf>
    <xf numFmtId="0" fontId="3" fillId="3" borderId="22" xfId="2" applyFont="1" applyFill="1" applyBorder="1" applyAlignment="1">
      <alignment horizontal="left" vertical="center" wrapText="1"/>
    </xf>
    <xf numFmtId="0" fontId="3" fillId="3" borderId="20" xfId="2" applyFont="1" applyFill="1" applyBorder="1" applyAlignment="1">
      <alignment horizontal="left" vertical="center" wrapText="1"/>
    </xf>
    <xf numFmtId="0" fontId="3" fillId="3" borderId="15" xfId="2" applyFont="1" applyFill="1" applyBorder="1" applyAlignment="1">
      <alignment horizontal="center" vertical="center" wrapText="1"/>
    </xf>
    <xf numFmtId="0" fontId="3" fillId="3" borderId="21" xfId="2" applyFont="1" applyFill="1" applyBorder="1" applyAlignment="1">
      <alignment horizontal="center" vertical="center" wrapText="1"/>
    </xf>
    <xf numFmtId="0" fontId="3" fillId="2" borderId="1" xfId="2" applyFont="1" applyFill="1" applyBorder="1" applyAlignment="1">
      <alignment horizontal="left" vertical="center" wrapText="1"/>
    </xf>
    <xf numFmtId="0" fontId="3" fillId="2" borderId="1" xfId="2" applyFont="1" applyFill="1" applyBorder="1" applyAlignment="1">
      <alignment vertical="center" wrapText="1"/>
    </xf>
    <xf numFmtId="0" fontId="3" fillId="2" borderId="3"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wrapText="1"/>
    </xf>
    <xf numFmtId="0" fontId="12" fillId="0" borderId="1" xfId="0" applyFont="1" applyBorder="1" applyAlignment="1">
      <alignment horizontal="left" vertical="center" wrapText="1"/>
    </xf>
    <xf numFmtId="0" fontId="14" fillId="0" borderId="1" xfId="0" applyFont="1" applyBorder="1" applyAlignment="1">
      <alignment horizontal="justify" wrapText="1"/>
    </xf>
    <xf numFmtId="0" fontId="1" fillId="0" borderId="1" xfId="0" applyFont="1" applyBorder="1" applyAlignment="1">
      <alignment horizontal="justify" wrapText="1"/>
    </xf>
    <xf numFmtId="0" fontId="14" fillId="0" borderId="1" xfId="0" applyFont="1" applyBorder="1" applyAlignment="1">
      <alignment horizontal="justify" vertical="center" wrapText="1"/>
    </xf>
    <xf numFmtId="49" fontId="18" fillId="8" borderId="58" xfId="0" applyNumberFormat="1" applyFont="1" applyFill="1" applyBorder="1" applyAlignment="1">
      <alignment horizontal="center" wrapText="1"/>
    </xf>
    <xf numFmtId="49" fontId="18" fillId="8" borderId="51" xfId="0" applyNumberFormat="1" applyFont="1" applyFill="1" applyBorder="1" applyAlignment="1">
      <alignment horizontal="center" wrapText="1"/>
    </xf>
    <xf numFmtId="49" fontId="18" fillId="8" borderId="58" xfId="0" applyNumberFormat="1" applyFont="1" applyFill="1" applyBorder="1" applyAlignment="1">
      <alignment horizontal="left" wrapText="1"/>
    </xf>
    <xf numFmtId="49" fontId="18" fillId="8" borderId="51" xfId="0" applyNumberFormat="1" applyFont="1" applyFill="1" applyBorder="1" applyAlignment="1">
      <alignment horizontal="left" wrapText="1"/>
    </xf>
    <xf numFmtId="0" fontId="0" fillId="0" borderId="0" xfId="0" applyAlignment="1">
      <alignment horizontal="justify" wrapText="1"/>
    </xf>
    <xf numFmtId="49" fontId="19" fillId="0" borderId="4" xfId="0" applyNumberFormat="1" applyFont="1" applyFill="1" applyBorder="1" applyAlignment="1">
      <alignment horizontal="left" vertical="top"/>
    </xf>
    <xf numFmtId="49" fontId="20" fillId="0" borderId="11" xfId="0" applyNumberFormat="1" applyFont="1" applyFill="1" applyBorder="1" applyAlignment="1">
      <alignment wrapText="1"/>
    </xf>
    <xf numFmtId="49" fontId="21" fillId="0" borderId="51" xfId="0" applyNumberFormat="1" applyFont="1" applyFill="1" applyBorder="1" applyAlignment="1">
      <alignment horizontal="left" vertical="center" wrapText="1"/>
    </xf>
    <xf numFmtId="49" fontId="15" fillId="0" borderId="58" xfId="0" applyNumberFormat="1" applyFont="1" applyFill="1" applyBorder="1" applyAlignment="1">
      <alignment horizontal="justify" wrapText="1"/>
    </xf>
    <xf numFmtId="0" fontId="14" fillId="0" borderId="0" xfId="0" applyFont="1"/>
    <xf numFmtId="0" fontId="21" fillId="0" borderId="51" xfId="0" applyFont="1" applyFill="1" applyBorder="1" applyAlignment="1">
      <alignment horizontal="left" vertical="center" wrapText="1"/>
    </xf>
    <xf numFmtId="0" fontId="15" fillId="0" borderId="58" xfId="0" applyFont="1" applyFill="1" applyBorder="1" applyAlignment="1">
      <alignment horizontal="justify" wrapText="1"/>
    </xf>
    <xf numFmtId="49" fontId="21" fillId="0" borderId="7" xfId="0" applyNumberFormat="1" applyFont="1" applyFill="1" applyBorder="1" applyAlignment="1">
      <alignment horizontal="left" vertical="center" wrapText="1"/>
    </xf>
    <xf numFmtId="49" fontId="15" fillId="0" borderId="13" xfId="0" applyNumberFormat="1" applyFont="1" applyFill="1" applyBorder="1" applyAlignment="1">
      <alignment horizontal="justify" wrapText="1"/>
    </xf>
    <xf numFmtId="49" fontId="18" fillId="8" borderId="1" xfId="0" applyNumberFormat="1" applyFont="1" applyFill="1" applyBorder="1" applyAlignment="1">
      <alignment horizontal="left" wrapText="1"/>
    </xf>
    <xf numFmtId="49" fontId="12" fillId="0" borderId="5" xfId="0" applyNumberFormat="1" applyFont="1" applyFill="1" applyBorder="1" applyAlignment="1">
      <alignment horizontal="left" vertical="top"/>
    </xf>
    <xf numFmtId="49" fontId="12" fillId="0" borderId="0" xfId="0" applyNumberFormat="1" applyFont="1" applyFill="1" applyBorder="1" applyAlignment="1">
      <alignment horizontal="left" vertical="top"/>
    </xf>
    <xf numFmtId="0" fontId="12" fillId="0" borderId="51" xfId="0" applyFont="1" applyBorder="1" applyAlignment="1">
      <alignment horizontal="left" vertical="center" wrapText="1"/>
    </xf>
    <xf numFmtId="0" fontId="0" fillId="0" borderId="58" xfId="0" applyBorder="1" applyAlignment="1">
      <alignment horizontal="justify" wrapText="1"/>
    </xf>
    <xf numFmtId="49" fontId="12" fillId="0" borderId="51" xfId="0" applyNumberFormat="1" applyFont="1" applyFill="1" applyBorder="1" applyAlignment="1">
      <alignment horizontal="left" vertical="center" wrapText="1"/>
    </xf>
    <xf numFmtId="0" fontId="15" fillId="0" borderId="13" xfId="0" applyFont="1" applyBorder="1" applyAlignment="1">
      <alignment horizontal="justify" wrapText="1"/>
    </xf>
    <xf numFmtId="49" fontId="12" fillId="0" borderId="1" xfId="0" applyNumberFormat="1" applyFont="1" applyFill="1" applyBorder="1" applyAlignment="1">
      <alignment horizontal="left" vertical="center" wrapText="1"/>
    </xf>
    <xf numFmtId="0" fontId="0" fillId="0" borderId="1" xfId="0" applyBorder="1" applyAlignment="1">
      <alignment horizontal="justify" wrapText="1"/>
    </xf>
    <xf numFmtId="49" fontId="15" fillId="0" borderId="1" xfId="0" applyNumberFormat="1" applyFont="1" applyFill="1" applyBorder="1" applyAlignment="1">
      <alignment horizontal="justify" wrapText="1"/>
    </xf>
    <xf numFmtId="0" fontId="15" fillId="0" borderId="1" xfId="0" applyFont="1" applyBorder="1" applyAlignment="1">
      <alignment horizontal="justify" wrapText="1"/>
    </xf>
    <xf numFmtId="0" fontId="15" fillId="0" borderId="1" xfId="0" applyFont="1" applyFill="1" applyBorder="1" applyAlignment="1">
      <alignment horizontal="justify" wrapText="1"/>
    </xf>
    <xf numFmtId="0" fontId="0" fillId="0" borderId="1" xfId="0" applyBorder="1" applyAlignment="1">
      <alignment wrapText="1"/>
    </xf>
    <xf numFmtId="0" fontId="19" fillId="0" borderId="4" xfId="0" applyFont="1" applyBorder="1" applyAlignment="1">
      <alignment horizontal="justify" wrapText="1"/>
    </xf>
    <xf numFmtId="0" fontId="19" fillId="0" borderId="11" xfId="0" applyFont="1" applyBorder="1" applyAlignment="1">
      <alignment horizontal="justify" wrapText="1"/>
    </xf>
    <xf numFmtId="0" fontId="14" fillId="0" borderId="1" xfId="0" applyFont="1" applyFill="1" applyBorder="1" applyAlignment="1">
      <alignment horizontal="justify" wrapText="1"/>
    </xf>
  </cellXfs>
  <cellStyles count="6">
    <cellStyle name="Milliers 2 2" xfId="4"/>
    <cellStyle name="Normal" xfId="0" builtinId="0"/>
    <cellStyle name="Normal 2 2" xfId="1"/>
    <cellStyle name="Normal 2 2 2" xfId="2"/>
    <cellStyle name="Pourcentage" xfId="5" builtinId="5"/>
    <cellStyle name="Pourcentage 2" xfId="3"/>
  </cellStyles>
  <dxfs count="17">
    <dxf>
      <alignment horizontal="justify"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scheme val="minor"/>
      </font>
      <alignment horizontal="justify" vertical="bottom" textRotation="0" wrapText="1" indent="0" justifyLastLine="0" shrinkToFit="0" readingOrder="0"/>
      <border diagonalUp="0" diagonalDown="0" outline="0">
        <left style="thin">
          <color indexed="64"/>
        </left>
        <right style="thin">
          <color indexed="64"/>
        </right>
        <top/>
        <bottom/>
      </border>
    </dxf>
    <dxf>
      <font>
        <b/>
      </font>
      <alignment horizontal="left" vertical="center" textRotation="0" wrapText="1"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justify" vertical="bottom" textRotation="0" wrapText="1" indent="0" justifyLastLine="0" shrinkToFit="0" readingOrder="0"/>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4"/>
        <name val="Calibri"/>
      </font>
    </dxf>
  </dxfs>
  <tableStyles count="0" defaultTableStyle="TableStyleMedium2" defaultPivotStyle="PivotStyleLight16"/>
  <colors>
    <mruColors>
      <color rgb="FF77933C"/>
      <color rgb="FF953735"/>
      <color rgb="FFC00000"/>
      <color rgb="FF71588F"/>
      <color rgb="FF4198AF"/>
      <color rgb="FFDB843D"/>
      <color rgb="FF376092"/>
      <color rgb="FFB9CDE5"/>
      <color rgb="FFC3D69B"/>
      <color rgb="FFCCC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64348905514776"/>
          <c:y val="5.4117708333333334E-2"/>
          <c:w val="0.65841388888888885"/>
          <c:h val="0.81149873914194848"/>
        </c:manualLayout>
      </c:layout>
      <c:barChart>
        <c:barDir val="col"/>
        <c:grouping val="stacked"/>
        <c:varyColors val="1"/>
        <c:ser>
          <c:idx val="0"/>
          <c:order val="0"/>
          <c:tx>
            <c:strRef>
              <c:f>'final graphs'!$C$64</c:f>
              <c:strCache>
                <c:ptCount val="1"/>
                <c:pt idx="0">
                  <c:v>Compliant with Art. 3</c:v>
                </c:pt>
              </c:strCache>
            </c:strRef>
          </c:tx>
          <c:spPr>
            <a:solidFill>
              <a:srgbClr val="558ED5"/>
            </a:solidFill>
          </c:spPr>
          <c:invertIfNegative val="0"/>
          <c:dLbls>
            <c:dLbl>
              <c:idx val="0"/>
              <c:tx>
                <c:rich>
                  <a:bodyPr/>
                  <a:lstStyle/>
                  <a:p>
                    <a:fld id="{C6ADCA78-D521-40E8-A8D0-5D2E361DFC78}" type="CELLRANGE">
                      <a:rPr lang="en-US"/>
                      <a:pPr/>
                      <a:t>[PLAGECELL]</a:t>
                    </a:fld>
                    <a:endParaRPr lang="fr-FR"/>
                  </a:p>
                </c:rich>
              </c:tx>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0FC6-414F-8614-12ADD6AB0241}"/>
                </c:ext>
                <c:ext xmlns:c15="http://schemas.microsoft.com/office/drawing/2012/chart" uri="{CE6537A1-D6FC-4f65-9D91-7224C49458BB}">
                  <c15:dlblFieldTable/>
                  <c15:showDataLabelsRange val="1"/>
                </c:ext>
              </c:extLst>
            </c:dLbl>
            <c:dLbl>
              <c:idx val="1"/>
              <c:tx>
                <c:rich>
                  <a:bodyPr/>
                  <a:lstStyle/>
                  <a:p>
                    <a:fld id="{1CF3C12A-695D-4FFA-8A8B-BC4437A68C1A}"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D0D938F4-D2FC-4477-BF71-A635901753C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graphs'!$B$65:$B$67</c:f>
              <c:numCache>
                <c:formatCode>General</c:formatCode>
                <c:ptCount val="3"/>
                <c:pt idx="0">
                  <c:v>-4</c:v>
                </c:pt>
                <c:pt idx="1">
                  <c:v>-2</c:v>
                </c:pt>
                <c:pt idx="2">
                  <c:v>0</c:v>
                </c:pt>
              </c:numCache>
            </c:numRef>
          </c:cat>
          <c:val>
            <c:numRef>
              <c:f>'final graphs'!$C$65:$C$67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0FC6-414F-8614-12ADD6AB0241}"/>
            </c:ext>
            <c:ext xmlns:c15="http://schemas.microsoft.com/office/drawing/2012/chart" uri="{02D57815-91ED-43cb-92C2-25804820EDAC}">
              <c15:datalabelsRange>
                <c15:f>'final graphs'!$I$65:$I$67</c15:f>
                <c15:dlblRangeCache>
                  <c:ptCount val="3"/>
                </c15:dlblRangeCache>
              </c15:datalabelsRange>
            </c:ext>
          </c:extLst>
        </c:ser>
        <c:ser>
          <c:idx val="1"/>
          <c:order val="1"/>
          <c:tx>
            <c:strRef>
              <c:f>'final graphs'!$D$64</c:f>
              <c:strCache>
                <c:ptCount val="1"/>
                <c:pt idx="0">
                  <c:v>Non-compliant with Art. 3</c:v>
                </c:pt>
              </c:strCache>
            </c:strRef>
          </c:tx>
          <c:spPr>
            <a:solidFill>
              <a:srgbClr val="FF0000"/>
            </a:solidFill>
          </c:spPr>
          <c:invertIfNegative val="0"/>
          <c:cat>
            <c:numRef>
              <c:f>'final graphs'!$B$65:$B$67</c:f>
              <c:numCache>
                <c:formatCode>General</c:formatCode>
                <c:ptCount val="3"/>
                <c:pt idx="0">
                  <c:v>-4</c:v>
                </c:pt>
                <c:pt idx="1">
                  <c:v>-2</c:v>
                </c:pt>
                <c:pt idx="2">
                  <c:v>0</c:v>
                </c:pt>
              </c:numCache>
            </c:numRef>
          </c:cat>
          <c:val>
            <c:numRef>
              <c:f>'final graphs'!$D$65:$D$67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0FC6-414F-8614-12ADD6AB0241}"/>
            </c:ext>
          </c:extLst>
        </c:ser>
        <c:ser>
          <c:idx val="2"/>
          <c:order val="2"/>
          <c:tx>
            <c:strRef>
              <c:f>'final graphs'!$E$64</c:f>
              <c:strCache>
                <c:ptCount val="1"/>
                <c:pt idx="0">
                  <c:v>Pending</c:v>
                </c:pt>
              </c:strCache>
            </c:strRef>
          </c:tx>
          <c:spPr>
            <a:solidFill>
              <a:schemeClr val="bg1">
                <a:lumMod val="50000"/>
              </a:schemeClr>
            </a:solidFill>
          </c:spPr>
          <c:invertIfNegative val="0"/>
          <c:cat>
            <c:numRef>
              <c:f>'final graphs'!$B$65:$B$67</c:f>
              <c:numCache>
                <c:formatCode>General</c:formatCode>
                <c:ptCount val="3"/>
                <c:pt idx="0">
                  <c:v>-4</c:v>
                </c:pt>
                <c:pt idx="1">
                  <c:v>-2</c:v>
                </c:pt>
                <c:pt idx="2">
                  <c:v>0</c:v>
                </c:pt>
              </c:numCache>
            </c:numRef>
          </c:cat>
          <c:val>
            <c:numRef>
              <c:f>'final graphs'!$E$65:$E$67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DF67-4E00-BE20-E2AC079491B1}"/>
            </c:ext>
          </c:extLst>
        </c:ser>
        <c:dLbls>
          <c:showLegendKey val="0"/>
          <c:showVal val="0"/>
          <c:showCatName val="0"/>
          <c:showSerName val="0"/>
          <c:showPercent val="0"/>
          <c:showBubbleSize val="0"/>
        </c:dLbls>
        <c:gapWidth val="150"/>
        <c:overlap val="100"/>
        <c:axId val="1597975888"/>
        <c:axId val="1597973712"/>
      </c:barChart>
      <c:catAx>
        <c:axId val="1597975888"/>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7973712"/>
        <c:crossesAt val="0"/>
        <c:auto val="1"/>
        <c:lblAlgn val="ctr"/>
        <c:lblOffset val="100"/>
        <c:noMultiLvlLbl val="0"/>
      </c:catAx>
      <c:valAx>
        <c:axId val="1597973712"/>
        <c:scaling>
          <c:orientation val="minMax"/>
          <c:min val="0"/>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Waste water load [Million</a:t>
                </a:r>
                <a:r>
                  <a:rPr lang="es-ES" sz="1000" baseline="0">
                    <a:solidFill>
                      <a:sysClr val="windowText" lastClr="000000"/>
                    </a:solidFill>
                    <a:latin typeface="Verdana" panose="020B0604030504040204" pitchFamily="34" charset="0"/>
                    <a:ea typeface="Verdana" panose="020B0604030504040204" pitchFamily="34" charset="0"/>
                  </a:rPr>
                  <a:t> </a:t>
                </a:r>
                <a:r>
                  <a:rPr lang="es-ES" sz="1000">
                    <a:solidFill>
                      <a:sysClr val="windowText" lastClr="000000"/>
                    </a:solidFill>
                    <a:latin typeface="Verdana" panose="020B0604030504040204" pitchFamily="34" charset="0"/>
                    <a:ea typeface="Verdana" panose="020B0604030504040204" pitchFamily="34" charset="0"/>
                  </a:rPr>
                  <a:t>p.e.]</a:t>
                </a:r>
              </a:p>
            </c:rich>
          </c:tx>
          <c:layout>
            <c:manualLayout>
              <c:xMode val="edge"/>
              <c:yMode val="edge"/>
              <c:x val="2.448758314037792E-3"/>
              <c:y val="0.1135432948125429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7973712"/>
        <c:crossesAt val="0"/>
        <c:crossBetween val="midCat"/>
      </c:valAx>
    </c:plotArea>
    <c:legend>
      <c:legendPos val="r"/>
      <c:layout>
        <c:manualLayout>
          <c:xMode val="edge"/>
          <c:yMode val="edge"/>
          <c:x val="0.77060994727786003"/>
          <c:y val="0.10134223217412747"/>
          <c:w val="0.21927625823912328"/>
          <c:h val="0.5377124148637521"/>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4652142144388"/>
          <c:y val="4.5583493235886223E-2"/>
          <c:w val="0.65250398089794748"/>
          <c:h val="0.82843974161326084"/>
        </c:manualLayout>
      </c:layout>
      <c:barChart>
        <c:barDir val="col"/>
        <c:grouping val="stacked"/>
        <c:varyColors val="1"/>
        <c:ser>
          <c:idx val="0"/>
          <c:order val="0"/>
          <c:tx>
            <c:strRef>
              <c:f>'final graphs'!$C$68</c:f>
              <c:strCache>
                <c:ptCount val="1"/>
                <c:pt idx="0">
                  <c:v>Compliant  with Art. 4</c:v>
                </c:pt>
              </c:strCache>
            </c:strRef>
          </c:tx>
          <c:spPr>
            <a:solidFill>
              <a:srgbClr val="558ED5"/>
            </a:solidFill>
          </c:spPr>
          <c:invertIfNegative val="0"/>
          <c:dLbls>
            <c:dLbl>
              <c:idx val="0"/>
              <c:tx>
                <c:rich>
                  <a:bodyPr/>
                  <a:lstStyle/>
                  <a:p>
                    <a:fld id="{048D7BA2-7239-4602-83B8-829832DED9F7}"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B5A-4F37-9BA8-441E53392F94}"/>
                </c:ext>
                <c:ext xmlns:c15="http://schemas.microsoft.com/office/drawing/2012/chart" uri="{CE6537A1-D6FC-4f65-9D91-7224C49458BB}">
                  <c15:dlblFieldTable/>
                  <c15:showDataLabelsRange val="1"/>
                </c:ext>
              </c:extLst>
            </c:dLbl>
            <c:dLbl>
              <c:idx val="1"/>
              <c:tx>
                <c:rich>
                  <a:bodyPr/>
                  <a:lstStyle/>
                  <a:p>
                    <a:fld id="{1A980475-F90B-46E9-B0B6-C64FB74B5566}" type="CELLRANGE">
                      <a:rPr lang="en-US"/>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8B6BDFD7-B9C1-48CD-B3CA-A3AAAFA9D746}" type="CELLRANGE">
                      <a:rPr lang="en-US"/>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graphs'!$B$69:$B$71</c:f>
              <c:numCache>
                <c:formatCode>General</c:formatCode>
                <c:ptCount val="3"/>
                <c:pt idx="0">
                  <c:v>-4</c:v>
                </c:pt>
                <c:pt idx="1">
                  <c:v>-2</c:v>
                </c:pt>
                <c:pt idx="2">
                  <c:v>0</c:v>
                </c:pt>
              </c:numCache>
            </c:numRef>
          </c:cat>
          <c:val>
            <c:numRef>
              <c:f>'final graphs'!$C$69:$C$71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B5A-4F37-9BA8-441E53392F94}"/>
            </c:ext>
            <c:ext xmlns:c15="http://schemas.microsoft.com/office/drawing/2012/chart" uri="{02D57815-91ED-43cb-92C2-25804820EDAC}">
              <c15:datalabelsRange>
                <c15:f>'final graphs'!$I$69:$I$71</c15:f>
                <c15:dlblRangeCache>
                  <c:ptCount val="3"/>
                </c15:dlblRangeCache>
              </c15:datalabelsRange>
            </c:ext>
          </c:extLst>
        </c:ser>
        <c:ser>
          <c:idx val="1"/>
          <c:order val="1"/>
          <c:tx>
            <c:strRef>
              <c:f>'final graphs'!$D$68</c:f>
              <c:strCache>
                <c:ptCount val="1"/>
                <c:pt idx="0">
                  <c:v>Non-compliant with Art. 4</c:v>
                </c:pt>
              </c:strCache>
            </c:strRef>
          </c:tx>
          <c:spPr>
            <a:solidFill>
              <a:srgbClr val="FF0000"/>
            </a:solidFill>
          </c:spPr>
          <c:invertIfNegative val="0"/>
          <c:cat>
            <c:numRef>
              <c:f>'final graphs'!$B$69:$B$71</c:f>
              <c:numCache>
                <c:formatCode>General</c:formatCode>
                <c:ptCount val="3"/>
                <c:pt idx="0">
                  <c:v>-4</c:v>
                </c:pt>
                <c:pt idx="1">
                  <c:v>-2</c:v>
                </c:pt>
                <c:pt idx="2">
                  <c:v>0</c:v>
                </c:pt>
              </c:numCache>
            </c:numRef>
          </c:cat>
          <c:val>
            <c:numRef>
              <c:f>'final graphs'!$D$69:$D$71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B5A-4F37-9BA8-441E53392F94}"/>
            </c:ext>
          </c:extLst>
        </c:ser>
        <c:ser>
          <c:idx val="2"/>
          <c:order val="2"/>
          <c:tx>
            <c:strRef>
              <c:f>'final graphs'!$E$68</c:f>
              <c:strCache>
                <c:ptCount val="1"/>
                <c:pt idx="0">
                  <c:v>Pending</c:v>
                </c:pt>
              </c:strCache>
            </c:strRef>
          </c:tx>
          <c:spPr>
            <a:solidFill>
              <a:schemeClr val="bg1">
                <a:lumMod val="50000"/>
              </a:schemeClr>
            </a:solidFill>
          </c:spPr>
          <c:invertIfNegative val="0"/>
          <c:cat>
            <c:numRef>
              <c:f>'final graphs'!$B$69:$B$71</c:f>
              <c:numCache>
                <c:formatCode>General</c:formatCode>
                <c:ptCount val="3"/>
                <c:pt idx="0">
                  <c:v>-4</c:v>
                </c:pt>
                <c:pt idx="1">
                  <c:v>-2</c:v>
                </c:pt>
                <c:pt idx="2">
                  <c:v>0</c:v>
                </c:pt>
              </c:numCache>
            </c:numRef>
          </c:cat>
          <c:val>
            <c:numRef>
              <c:f>'final graphs'!$E$69:$E$71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7D9F-4CD3-8164-4A2473BF55FC}"/>
            </c:ext>
          </c:extLst>
        </c:ser>
        <c:dLbls>
          <c:showLegendKey val="0"/>
          <c:showVal val="0"/>
          <c:showCatName val="0"/>
          <c:showSerName val="0"/>
          <c:showPercent val="0"/>
          <c:showBubbleSize val="0"/>
        </c:dLbls>
        <c:gapWidth val="150"/>
        <c:overlap val="100"/>
        <c:axId val="1597981328"/>
        <c:axId val="1597977520"/>
      </c:barChart>
      <c:catAx>
        <c:axId val="1597981328"/>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7977520"/>
        <c:crosses val="autoZero"/>
        <c:auto val="1"/>
        <c:lblAlgn val="ctr"/>
        <c:lblOffset val="100"/>
        <c:noMultiLvlLbl val="0"/>
      </c:catAx>
      <c:valAx>
        <c:axId val="1597977520"/>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7977520"/>
        <c:crosses val="autoZero"/>
        <c:crossBetween val="midCat"/>
      </c:valAx>
    </c:plotArea>
    <c:legend>
      <c:legendPos val="r"/>
      <c:layout>
        <c:manualLayout>
          <c:xMode val="edge"/>
          <c:yMode val="edge"/>
          <c:x val="0.80223273456565525"/>
          <c:y val="0.12251259997757802"/>
          <c:w val="0.19424354823855808"/>
          <c:h val="0.5829687500000000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1418346431465"/>
          <c:y val="4.3048457023328823E-2"/>
          <c:w val="0.66149845759441073"/>
          <c:h val="0.83541106183844838"/>
        </c:manualLayout>
      </c:layout>
      <c:barChart>
        <c:barDir val="col"/>
        <c:grouping val="stacked"/>
        <c:varyColors val="1"/>
        <c:ser>
          <c:idx val="0"/>
          <c:order val="0"/>
          <c:tx>
            <c:strRef>
              <c:f>'final graphs'!$C$72</c:f>
              <c:strCache>
                <c:ptCount val="1"/>
                <c:pt idx="0">
                  <c:v>Compliant with Art. 5</c:v>
                </c:pt>
              </c:strCache>
            </c:strRef>
          </c:tx>
          <c:spPr>
            <a:solidFill>
              <a:srgbClr val="558ED5"/>
            </a:solidFill>
          </c:spPr>
          <c:invertIfNegative val="0"/>
          <c:dLbls>
            <c:dLbl>
              <c:idx val="0"/>
              <c:tx>
                <c:rich>
                  <a:bodyPr/>
                  <a:lstStyle/>
                  <a:p>
                    <a:fld id="{83E3AF94-8EE4-4828-86A1-55B8A9E0249F}" type="CELLRANGE">
                      <a:rPr lang="en-US"/>
                      <a:pPr/>
                      <a:t>[PLAGECELL]</a:t>
                    </a:fld>
                    <a:endParaRPr lang="fr-FR"/>
                  </a:p>
                </c:rich>
              </c:tx>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D19-4B41-AC53-6E3109FBEC13}"/>
                </c:ext>
                <c:ext xmlns:c15="http://schemas.microsoft.com/office/drawing/2012/chart" uri="{CE6537A1-D6FC-4f65-9D91-7224C49458BB}">
                  <c15:dlblFieldTable/>
                  <c15:showDataLabelsRange val="1"/>
                </c:ext>
              </c:extLst>
            </c:dLbl>
            <c:dLbl>
              <c:idx val="1"/>
              <c:tx>
                <c:rich>
                  <a:bodyPr/>
                  <a:lstStyle/>
                  <a:p>
                    <a:fld id="{A54718F0-39D3-4A44-AAD9-0AEC30D22D56}"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8B5FC978-8809-421F-9BEB-C7D555089461}"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graphs'!$B$73:$B$75</c:f>
              <c:numCache>
                <c:formatCode>General</c:formatCode>
                <c:ptCount val="3"/>
                <c:pt idx="0">
                  <c:v>-4</c:v>
                </c:pt>
                <c:pt idx="1">
                  <c:v>-2</c:v>
                </c:pt>
                <c:pt idx="2">
                  <c:v>0</c:v>
                </c:pt>
              </c:numCache>
            </c:numRef>
          </c:cat>
          <c:val>
            <c:numRef>
              <c:f>'final graphs'!$C$73:$C$75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D19-4B41-AC53-6E3109FBEC13}"/>
            </c:ext>
            <c:ext xmlns:c15="http://schemas.microsoft.com/office/drawing/2012/chart" uri="{02D57815-91ED-43cb-92C2-25804820EDAC}">
              <c15:datalabelsRange>
                <c15:f>'final graphs'!$I$73:$I$75</c15:f>
                <c15:dlblRangeCache>
                  <c:ptCount val="3"/>
                </c15:dlblRangeCache>
              </c15:datalabelsRange>
            </c:ext>
          </c:extLst>
        </c:ser>
        <c:ser>
          <c:idx val="1"/>
          <c:order val="1"/>
          <c:tx>
            <c:strRef>
              <c:f>'final graphs'!$D$72</c:f>
              <c:strCache>
                <c:ptCount val="1"/>
                <c:pt idx="0">
                  <c:v>Non-compliant with Art. 5</c:v>
                </c:pt>
              </c:strCache>
            </c:strRef>
          </c:tx>
          <c:spPr>
            <a:solidFill>
              <a:srgbClr val="FF0000"/>
            </a:solidFill>
          </c:spPr>
          <c:invertIfNegative val="0"/>
          <c:cat>
            <c:numRef>
              <c:f>'final graphs'!$B$73:$B$75</c:f>
              <c:numCache>
                <c:formatCode>General</c:formatCode>
                <c:ptCount val="3"/>
                <c:pt idx="0">
                  <c:v>-4</c:v>
                </c:pt>
                <c:pt idx="1">
                  <c:v>-2</c:v>
                </c:pt>
                <c:pt idx="2">
                  <c:v>0</c:v>
                </c:pt>
              </c:numCache>
            </c:numRef>
          </c:cat>
          <c:val>
            <c:numRef>
              <c:f>'final graphs'!$D$73:$D$75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D19-4B41-AC53-6E3109FBEC13}"/>
            </c:ext>
          </c:extLst>
        </c:ser>
        <c:ser>
          <c:idx val="2"/>
          <c:order val="2"/>
          <c:tx>
            <c:strRef>
              <c:f>'final graphs'!$E$72</c:f>
              <c:strCache>
                <c:ptCount val="1"/>
                <c:pt idx="0">
                  <c:v>Pending</c:v>
                </c:pt>
              </c:strCache>
            </c:strRef>
          </c:tx>
          <c:spPr>
            <a:solidFill>
              <a:schemeClr val="bg1">
                <a:lumMod val="50000"/>
              </a:schemeClr>
            </a:solidFill>
          </c:spPr>
          <c:invertIfNegative val="0"/>
          <c:cat>
            <c:numRef>
              <c:f>'final graphs'!$B$73:$B$75</c:f>
              <c:numCache>
                <c:formatCode>General</c:formatCode>
                <c:ptCount val="3"/>
                <c:pt idx="0">
                  <c:v>-4</c:v>
                </c:pt>
                <c:pt idx="1">
                  <c:v>-2</c:v>
                </c:pt>
                <c:pt idx="2">
                  <c:v>0</c:v>
                </c:pt>
              </c:numCache>
            </c:numRef>
          </c:cat>
          <c:val>
            <c:numRef>
              <c:f>'final graphs'!$E$73:$E$75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FF8A-428C-B3E6-ED38FE1CFEA9}"/>
            </c:ext>
          </c:extLst>
        </c:ser>
        <c:dLbls>
          <c:showLegendKey val="0"/>
          <c:showVal val="0"/>
          <c:showCatName val="0"/>
          <c:showSerName val="0"/>
          <c:showPercent val="0"/>
          <c:showBubbleSize val="0"/>
        </c:dLbls>
        <c:gapWidth val="150"/>
        <c:overlap val="100"/>
        <c:axId val="1597985136"/>
        <c:axId val="1597985680"/>
      </c:barChart>
      <c:catAx>
        <c:axId val="1597985136"/>
        <c:scaling>
          <c:orientation val="minMax"/>
        </c:scaling>
        <c:delete val="0"/>
        <c:axPos val="b"/>
        <c:numFmt formatCode="General" sourceLinked="1"/>
        <c:majorTickMark val="none"/>
        <c:minorTickMark val="none"/>
        <c:tickLblPos val="nextTo"/>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7985680"/>
        <c:crosses val="autoZero"/>
        <c:auto val="1"/>
        <c:lblAlgn val="ctr"/>
        <c:lblOffset val="100"/>
        <c:noMultiLvlLbl val="0"/>
      </c:catAx>
      <c:valAx>
        <c:axId val="1597985680"/>
        <c:scaling>
          <c:orientation val="minMax"/>
          <c:max val="0.70000000000000007"/>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7985680"/>
        <c:crosses val="autoZero"/>
        <c:crossBetween val="midCat"/>
      </c:valAx>
    </c:plotArea>
    <c:legend>
      <c:legendPos val="r"/>
      <c:layout>
        <c:manualLayout>
          <c:xMode val="edge"/>
          <c:yMode val="edge"/>
          <c:x val="0.78417730431138966"/>
          <c:y val="0.12043723408804352"/>
          <c:w val="0.2051558130674814"/>
          <c:h val="0.5829687500000000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39195108193033"/>
          <c:y val="4.576383595680561E-2"/>
          <c:w val="0.62950405982905988"/>
          <c:h val="0.85847843174305727"/>
        </c:manualLayout>
      </c:layout>
      <c:barChart>
        <c:barDir val="col"/>
        <c:grouping val="stacked"/>
        <c:varyColors val="0"/>
        <c:ser>
          <c:idx val="2"/>
          <c:order val="0"/>
          <c:tx>
            <c:strRef>
              <c:f>'final graphs'!$C$82</c:f>
              <c:strCache>
                <c:ptCount val="1"/>
                <c:pt idx="0">
                  <c:v>Target for collection achieved</c:v>
                </c:pt>
              </c:strCache>
            </c:strRef>
          </c:tx>
          <c:spPr>
            <a:solidFill>
              <a:srgbClr val="558ED5"/>
            </a:solidFill>
            <a:ln>
              <a:noFill/>
            </a:ln>
            <a:effectLst/>
          </c:spPr>
          <c:invertIfNegative val="0"/>
          <c:dLbls>
            <c:delete val="1"/>
          </c:dLbls>
          <c:cat>
            <c:numRef>
              <c:f>'final graphs'!$B$83:$B$85</c:f>
              <c:numCache>
                <c:formatCode>General</c:formatCode>
                <c:ptCount val="3"/>
                <c:pt idx="0">
                  <c:v>-4</c:v>
                </c:pt>
                <c:pt idx="1">
                  <c:v>-2</c:v>
                </c:pt>
                <c:pt idx="2">
                  <c:v>0</c:v>
                </c:pt>
              </c:numCache>
            </c:numRef>
          </c:cat>
          <c:val>
            <c:numRef>
              <c:f>'final graphs'!$C$83:$C$85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836D-401F-A594-BDB3E3D3F2A0}"/>
            </c:ext>
          </c:extLst>
        </c:ser>
        <c:ser>
          <c:idx val="1"/>
          <c:order val="1"/>
          <c:tx>
            <c:strRef>
              <c:f>'final graphs'!$D$82</c:f>
              <c:strCache>
                <c:ptCount val="1"/>
                <c:pt idx="0">
                  <c:v>Distance to target: collection</c:v>
                </c:pt>
              </c:strCache>
            </c:strRef>
          </c:tx>
          <c:spPr>
            <a:solidFill>
              <a:srgbClr val="FF0000"/>
            </a:solidFill>
            <a:ln>
              <a:noFill/>
            </a:ln>
            <a:effectLst/>
          </c:spPr>
          <c:invertIfNegative val="0"/>
          <c:dLbls>
            <c:dLbl>
              <c:idx val="0"/>
              <c:layout>
                <c:manualLayout>
                  <c:x val="-4.1466004190924589E-6"/>
                  <c:y val="-5.4774567657259379E-3"/>
                </c:manualLayout>
              </c:layout>
              <c:tx>
                <c:rich>
                  <a:bodyPr/>
                  <a:lstStyle/>
                  <a:p>
                    <a:fld id="{C89B0BCE-BB5B-4AE0-95BD-E6D0F0DADCE8}"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836D-401F-A594-BDB3E3D3F2A0}"/>
                </c:ext>
                <c:ext xmlns:c15="http://schemas.microsoft.com/office/drawing/2012/chart" uri="{CE6537A1-D6FC-4f65-9D91-7224C49458BB}">
                  <c15:dlblFieldTable/>
                  <c15:showDataLabelsRange val="1"/>
                </c:ext>
              </c:extLst>
            </c:dLbl>
            <c:dLbl>
              <c:idx val="1"/>
              <c:layout>
                <c:manualLayout>
                  <c:x val="-2.3937193328270709E-3"/>
                  <c:y val="-9.4592484407579891E-3"/>
                </c:manualLayout>
              </c:layout>
              <c:tx>
                <c:rich>
                  <a:bodyPr/>
                  <a:lstStyle/>
                  <a:p>
                    <a:fld id="{76B7EC3D-3871-4CE1-92AF-342682285B10}"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836D-401F-A594-BDB3E3D3F2A0}"/>
                </c:ext>
                <c:ext xmlns:c15="http://schemas.microsoft.com/office/drawing/2012/chart" uri="{CE6537A1-D6FC-4f65-9D91-7224C49458BB}">
                  <c15:dlblFieldTable/>
                  <c15:showDataLabelsRange val="1"/>
                </c:ext>
              </c:extLst>
            </c:dLbl>
            <c:dLbl>
              <c:idx val="2"/>
              <c:layout>
                <c:manualLayout>
                  <c:x val="0"/>
                  <c:y val="-6.8681444856043218E-4"/>
                </c:manualLayout>
              </c:layout>
              <c:tx>
                <c:rich>
                  <a:bodyPr/>
                  <a:lstStyle/>
                  <a:p>
                    <a:fld id="{08E4AFCF-E30C-44FC-9CE2-A24FDB80D163}"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836D-401F-A594-BDB3E3D3F2A0}"/>
                </c:ext>
                <c:ext xmlns:c15="http://schemas.microsoft.com/office/drawing/2012/chart" uri="{CE6537A1-D6FC-4f65-9D91-7224C49458BB}">
                  <c15:dlblFieldTable/>
                  <c15:showDataLabelsRange val="1"/>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graphs'!$B$83:$B$85</c:f>
              <c:numCache>
                <c:formatCode>General</c:formatCode>
                <c:ptCount val="3"/>
                <c:pt idx="0">
                  <c:v>-4</c:v>
                </c:pt>
                <c:pt idx="1">
                  <c:v>-2</c:v>
                </c:pt>
                <c:pt idx="2">
                  <c:v>0</c:v>
                </c:pt>
              </c:numCache>
            </c:numRef>
          </c:cat>
          <c:val>
            <c:numRef>
              <c:f>'final graphs'!$D$83:$D$85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836D-401F-A594-BDB3E3D3F2A0}"/>
            </c:ext>
            <c:ext xmlns:c15="http://schemas.microsoft.com/office/drawing/2012/chart" uri="{02D57815-91ED-43cb-92C2-25804820EDAC}">
              <c15:datalabelsRange>
                <c15:f>'final graphs'!$I$83:$I$85</c15:f>
                <c15:dlblRangeCache>
                  <c:ptCount val="3"/>
                </c15:dlblRangeCache>
              </c15:datalabelsRange>
            </c:ext>
          </c:extLst>
        </c:ser>
        <c:ser>
          <c:idx val="0"/>
          <c:order val="2"/>
          <c:tx>
            <c:strRef>
              <c:f>'final graphs'!$E$82</c:f>
              <c:strCache>
                <c:ptCount val="1"/>
                <c:pt idx="0">
                  <c:v>Pending</c:v>
                </c:pt>
              </c:strCache>
            </c:strRef>
          </c:tx>
          <c:spPr>
            <a:solidFill>
              <a:schemeClr val="bg1">
                <a:lumMod val="50000"/>
              </a:schemeClr>
            </a:solidFill>
            <a:ln>
              <a:noFill/>
            </a:ln>
            <a:effectLst/>
          </c:spPr>
          <c:invertIfNegative val="0"/>
          <c:dLbls>
            <c:delete val="1"/>
          </c:dLbls>
          <c:cat>
            <c:numRef>
              <c:f>'final graphs'!$B$83:$B$85</c:f>
              <c:numCache>
                <c:formatCode>General</c:formatCode>
                <c:ptCount val="3"/>
                <c:pt idx="0">
                  <c:v>-4</c:v>
                </c:pt>
                <c:pt idx="1">
                  <c:v>-2</c:v>
                </c:pt>
                <c:pt idx="2">
                  <c:v>0</c:v>
                </c:pt>
              </c:numCache>
            </c:numRef>
          </c:cat>
          <c:val>
            <c:numRef>
              <c:f>'final graphs'!$E$83:$E$85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0423-4F6A-B289-DE4BD1246A67}"/>
            </c:ext>
          </c:extLst>
        </c:ser>
        <c:dLbls>
          <c:dLblPos val="ctr"/>
          <c:showLegendKey val="0"/>
          <c:showVal val="1"/>
          <c:showCatName val="0"/>
          <c:showSerName val="0"/>
          <c:showPercent val="0"/>
          <c:showBubbleSize val="0"/>
        </c:dLbls>
        <c:gapWidth val="150"/>
        <c:overlap val="100"/>
        <c:axId val="1597978064"/>
        <c:axId val="1597978608"/>
      </c:barChart>
      <c:catAx>
        <c:axId val="1597978064"/>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Verdana" panose="020B0604030504040204" pitchFamily="34" charset="0"/>
                <a:ea typeface="Verdana" panose="020B0604030504040204" pitchFamily="34" charset="0"/>
                <a:cs typeface="+mn-cs"/>
              </a:defRPr>
            </a:pPr>
            <a:endParaRPr lang="fr-FR"/>
          </a:p>
        </c:txPr>
        <c:crossAx val="1597978608"/>
        <c:crosses val="autoZero"/>
        <c:auto val="1"/>
        <c:lblAlgn val="ctr"/>
        <c:lblOffset val="100"/>
        <c:noMultiLvlLbl val="0"/>
      </c:catAx>
      <c:valAx>
        <c:axId val="1597978608"/>
        <c:scaling>
          <c:orientation val="minMax"/>
          <c:min val="0"/>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7.9237761348054121E-3"/>
              <c:y val="0.171721299901539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 ##0.0_ ;\-#\ ##0.0\ " sourceLinked="1"/>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1597978064"/>
        <c:crosses val="autoZero"/>
        <c:crossBetween val="between"/>
      </c:valAx>
      <c:spPr>
        <a:noFill/>
        <a:ln>
          <a:noFill/>
        </a:ln>
        <a:effectLst/>
      </c:spPr>
    </c:plotArea>
    <c:legend>
      <c:legendPos val="r"/>
      <c:layout>
        <c:manualLayout>
          <c:xMode val="edge"/>
          <c:yMode val="edge"/>
          <c:x val="0.78212611493031725"/>
          <c:y val="0.22621908933369794"/>
          <c:w val="0.21255743321422368"/>
          <c:h val="0.565330057406269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43324157618729"/>
          <c:y val="4.6109641536891191E-2"/>
          <c:w val="0.60122020169430668"/>
          <c:h val="0.85019917715265547"/>
        </c:manualLayout>
      </c:layout>
      <c:barChart>
        <c:barDir val="col"/>
        <c:grouping val="stacked"/>
        <c:varyColors val="0"/>
        <c:ser>
          <c:idx val="2"/>
          <c:order val="0"/>
          <c:tx>
            <c:strRef>
              <c:f>'final graphs'!$C$86</c:f>
              <c:strCache>
                <c:ptCount val="1"/>
                <c:pt idx="0">
                  <c:v>Target for secondary treatment achieved</c:v>
                </c:pt>
              </c:strCache>
            </c:strRef>
          </c:tx>
          <c:spPr>
            <a:solidFill>
              <a:srgbClr val="558ED5"/>
            </a:solidFill>
            <a:ln>
              <a:noFill/>
            </a:ln>
            <a:effectLst/>
          </c:spPr>
          <c:invertIfNegative val="0"/>
          <c:dLbls>
            <c:delete val="1"/>
          </c:dLbls>
          <c:cat>
            <c:numRef>
              <c:f>'final graphs'!$B$87:$B$89</c:f>
              <c:numCache>
                <c:formatCode>General</c:formatCode>
                <c:ptCount val="3"/>
                <c:pt idx="0">
                  <c:v>-4</c:v>
                </c:pt>
                <c:pt idx="1">
                  <c:v>-2</c:v>
                </c:pt>
                <c:pt idx="2">
                  <c:v>0</c:v>
                </c:pt>
              </c:numCache>
            </c:numRef>
          </c:cat>
          <c:val>
            <c:numRef>
              <c:f>'final graphs'!$C$87:$C$89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B468-4B16-9449-FFCE673F7F21}"/>
            </c:ext>
          </c:extLst>
        </c:ser>
        <c:ser>
          <c:idx val="1"/>
          <c:order val="1"/>
          <c:tx>
            <c:strRef>
              <c:f>'final graphs'!$D$86</c:f>
              <c:strCache>
                <c:ptCount val="1"/>
                <c:pt idx="0">
                  <c:v>Distance to target: secondary treatment</c:v>
                </c:pt>
              </c:strCache>
            </c:strRef>
          </c:tx>
          <c:spPr>
            <a:solidFill>
              <a:srgbClr val="FF0000"/>
            </a:solidFill>
            <a:ln>
              <a:noFill/>
            </a:ln>
            <a:effectLst/>
          </c:spPr>
          <c:invertIfNegative val="0"/>
          <c:dLbls>
            <c:dLbl>
              <c:idx val="0"/>
              <c:layout>
                <c:manualLayout>
                  <c:x val="0"/>
                  <c:y val="-1.1096153946687438E-2"/>
                </c:manualLayout>
              </c:layout>
              <c:tx>
                <c:rich>
                  <a:bodyPr/>
                  <a:lstStyle/>
                  <a:p>
                    <a:fld id="{41AA4D3A-7194-4794-95ED-7D7EFA4F620E}"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B468-4B16-9449-FFCE673F7F21}"/>
                </c:ext>
                <c:ext xmlns:c15="http://schemas.microsoft.com/office/drawing/2012/chart" uri="{CE6537A1-D6FC-4f65-9D91-7224C49458BB}">
                  <c15:dlblFieldTable/>
                  <c15:showDataLabelsRange val="1"/>
                </c:ext>
              </c:extLst>
            </c:dLbl>
            <c:dLbl>
              <c:idx val="1"/>
              <c:layout>
                <c:manualLayout>
                  <c:x val="-2.3866510345357788E-3"/>
                  <c:y val="-3.5185349762398908E-3"/>
                </c:manualLayout>
              </c:layout>
              <c:tx>
                <c:rich>
                  <a:bodyPr/>
                  <a:lstStyle/>
                  <a:p>
                    <a:fld id="{E39282E9-2551-4B58-94FB-849534F15606}"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B468-4B16-9449-FFCE673F7F21}"/>
                </c:ext>
                <c:ext xmlns:c15="http://schemas.microsoft.com/office/drawing/2012/chart" uri="{CE6537A1-D6FC-4f65-9D91-7224C49458BB}">
                  <c15:dlblFieldTable/>
                  <c15:showDataLabelsRange val="1"/>
                </c:ext>
              </c:extLst>
            </c:dLbl>
            <c:dLbl>
              <c:idx val="2"/>
              <c:layout>
                <c:manualLayout>
                  <c:x val="2.3994642565748851E-3"/>
                  <c:y val="5.1966416954628385E-3"/>
                </c:manualLayout>
              </c:layout>
              <c:tx>
                <c:rich>
                  <a:bodyPr/>
                  <a:lstStyle/>
                  <a:p>
                    <a:fld id="{032AF84E-2E58-458F-94F3-4CCC73202680}"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B468-4B16-9449-FFCE673F7F21}"/>
                </c:ext>
                <c:ext xmlns:c15="http://schemas.microsoft.com/office/drawing/2012/chart" uri="{CE6537A1-D6FC-4f65-9D91-7224C49458BB}">
                  <c15:dlblFieldTable/>
                  <c15:showDataLabelsRange val="1"/>
                </c:ext>
              </c:extLst>
            </c:dLbl>
            <c:spPr>
              <a:noFill/>
              <a:ln>
                <a:noFill/>
              </a:ln>
              <a:effectLst/>
            </c:spPr>
            <c:txPr>
              <a:bodyPr rot="0" spcFirstLastPara="1" vertOverflow="ellipsis" vert="horz"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graphs'!$B$87:$B$89</c:f>
              <c:numCache>
                <c:formatCode>General</c:formatCode>
                <c:ptCount val="3"/>
                <c:pt idx="0">
                  <c:v>-4</c:v>
                </c:pt>
                <c:pt idx="1">
                  <c:v>-2</c:v>
                </c:pt>
                <c:pt idx="2">
                  <c:v>0</c:v>
                </c:pt>
              </c:numCache>
            </c:numRef>
          </c:cat>
          <c:val>
            <c:numRef>
              <c:f>'final graphs'!$D$87:$D$89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B468-4B16-9449-FFCE673F7F21}"/>
            </c:ext>
            <c:ext xmlns:c15="http://schemas.microsoft.com/office/drawing/2012/chart" uri="{02D57815-91ED-43cb-92C2-25804820EDAC}">
              <c15:datalabelsRange>
                <c15:f>'final graphs'!$I$87:$I$89</c15:f>
                <c15:dlblRangeCache>
                  <c:ptCount val="3"/>
                </c15:dlblRangeCache>
              </c15:datalabelsRange>
            </c:ext>
          </c:extLst>
        </c:ser>
        <c:ser>
          <c:idx val="0"/>
          <c:order val="2"/>
          <c:tx>
            <c:strRef>
              <c:f>'final graphs'!$E$86</c:f>
              <c:strCache>
                <c:ptCount val="1"/>
                <c:pt idx="0">
                  <c:v>Pending</c:v>
                </c:pt>
              </c:strCache>
            </c:strRef>
          </c:tx>
          <c:spPr>
            <a:solidFill>
              <a:schemeClr val="bg1">
                <a:lumMod val="50000"/>
              </a:schemeClr>
            </a:solidFill>
            <a:ln>
              <a:noFill/>
            </a:ln>
            <a:effectLst/>
          </c:spPr>
          <c:invertIfNegative val="0"/>
          <c:dLbls>
            <c:delete val="1"/>
          </c:dLbls>
          <c:cat>
            <c:numRef>
              <c:f>'final graphs'!$B$87:$B$89</c:f>
              <c:numCache>
                <c:formatCode>General</c:formatCode>
                <c:ptCount val="3"/>
                <c:pt idx="0">
                  <c:v>-4</c:v>
                </c:pt>
                <c:pt idx="1">
                  <c:v>-2</c:v>
                </c:pt>
                <c:pt idx="2">
                  <c:v>0</c:v>
                </c:pt>
              </c:numCache>
            </c:numRef>
          </c:cat>
          <c:val>
            <c:numRef>
              <c:f>'final graphs'!$E$87:$E$89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2BA-44D4-B23C-1A700B377B8A}"/>
            </c:ext>
          </c:extLst>
        </c:ser>
        <c:dLbls>
          <c:dLblPos val="ctr"/>
          <c:showLegendKey val="0"/>
          <c:showVal val="1"/>
          <c:showCatName val="0"/>
          <c:showSerName val="0"/>
          <c:showPercent val="0"/>
          <c:showBubbleSize val="0"/>
        </c:dLbls>
        <c:gapWidth val="150"/>
        <c:overlap val="100"/>
        <c:axId val="1597986224"/>
        <c:axId val="1599318112"/>
      </c:barChart>
      <c:catAx>
        <c:axId val="1597986224"/>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1599318112"/>
        <c:crosses val="autoZero"/>
        <c:auto val="1"/>
        <c:lblAlgn val="ctr"/>
        <c:lblOffset val="100"/>
        <c:noMultiLvlLbl val="0"/>
      </c:catAx>
      <c:valAx>
        <c:axId val="1599318112"/>
        <c:scaling>
          <c:orientation val="minMax"/>
          <c:min val="0"/>
        </c:scaling>
        <c:delete val="0"/>
        <c:axPos val="l"/>
        <c:majorGridlines>
          <c:spPr>
            <a:ln w="9525" cap="flat" cmpd="sng" algn="ctr">
              <a:solidFill>
                <a:srgbClr val="868686"/>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6926135337767101E-2"/>
              <c:y val="0.1966359742305594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0.0" sourceLinked="0"/>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1597986224"/>
        <c:crosses val="autoZero"/>
        <c:crossBetween val="between"/>
      </c:valAx>
      <c:spPr>
        <a:noFill/>
        <a:ln>
          <a:noFill/>
        </a:ln>
        <a:effectLst/>
      </c:spPr>
    </c:plotArea>
    <c:legend>
      <c:legendPos val="r"/>
      <c:layout>
        <c:manualLayout>
          <c:xMode val="edge"/>
          <c:yMode val="edge"/>
          <c:x val="0.75916735915227374"/>
          <c:y val="0.21273979227761228"/>
          <c:w val="0.23864546182789281"/>
          <c:h val="0.6491145833333333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68240019346036"/>
          <c:y val="4.8734597744316197E-2"/>
          <c:w val="0.603993167276619"/>
          <c:h val="0.85157826915935431"/>
        </c:manualLayout>
      </c:layout>
      <c:barChart>
        <c:barDir val="col"/>
        <c:grouping val="stacked"/>
        <c:varyColors val="0"/>
        <c:ser>
          <c:idx val="2"/>
          <c:order val="0"/>
          <c:tx>
            <c:strRef>
              <c:f>'final graphs'!$C$90</c:f>
              <c:strCache>
                <c:ptCount val="1"/>
                <c:pt idx="0">
                  <c:v>Target for more stringent treatment achieved</c:v>
                </c:pt>
              </c:strCache>
            </c:strRef>
          </c:tx>
          <c:spPr>
            <a:solidFill>
              <a:srgbClr val="558ED5"/>
            </a:solidFill>
            <a:ln>
              <a:noFill/>
            </a:ln>
            <a:effectLst/>
          </c:spPr>
          <c:invertIfNegative val="0"/>
          <c:dLbls>
            <c:delete val="1"/>
          </c:dLbls>
          <c:cat>
            <c:numRef>
              <c:f>'final graphs'!$B$91:$B$93</c:f>
              <c:numCache>
                <c:formatCode>General</c:formatCode>
                <c:ptCount val="3"/>
                <c:pt idx="0">
                  <c:v>-4</c:v>
                </c:pt>
                <c:pt idx="1">
                  <c:v>-2</c:v>
                </c:pt>
                <c:pt idx="2">
                  <c:v>0</c:v>
                </c:pt>
              </c:numCache>
            </c:numRef>
          </c:cat>
          <c:val>
            <c:numRef>
              <c:f>'final graphs'!$C$91:$C$93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337-4DBA-8C21-EB881DC52BDA}"/>
            </c:ext>
          </c:extLst>
        </c:ser>
        <c:ser>
          <c:idx val="1"/>
          <c:order val="1"/>
          <c:tx>
            <c:strRef>
              <c:f>'final graphs'!$D$90</c:f>
              <c:strCache>
                <c:ptCount val="1"/>
                <c:pt idx="0">
                  <c:v>Distance to target: more stringent treatment</c:v>
                </c:pt>
              </c:strCache>
            </c:strRef>
          </c:tx>
          <c:spPr>
            <a:solidFill>
              <a:srgbClr val="FF0000"/>
            </a:solidFill>
            <a:ln>
              <a:noFill/>
            </a:ln>
            <a:effectLst/>
          </c:spPr>
          <c:invertIfNegative val="0"/>
          <c:dLbls>
            <c:dLbl>
              <c:idx val="0"/>
              <c:layout>
                <c:manualLayout>
                  <c:x val="-6.0678840738332552E-6"/>
                  <c:y val="-8.6564339974464864E-3"/>
                </c:manualLayout>
              </c:layout>
              <c:tx>
                <c:rich>
                  <a:bodyPr/>
                  <a:lstStyle/>
                  <a:p>
                    <a:fld id="{679D93F2-072B-4682-85AB-8FE0E78ADEBF}"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A337-4DBA-8C21-EB881DC52BDA}"/>
                </c:ext>
                <c:ext xmlns:c15="http://schemas.microsoft.com/office/drawing/2012/chart" uri="{CE6537A1-D6FC-4f65-9D91-7224C49458BB}">
                  <c15:dlblFieldTable/>
                  <c15:showDataLabelsRange val="1"/>
                </c:ext>
              </c:extLst>
            </c:dLbl>
            <c:dLbl>
              <c:idx val="1"/>
              <c:layout>
                <c:manualLayout>
                  <c:x val="-2.4142593758763623E-3"/>
                  <c:y val="-2.3019700315850725E-2"/>
                </c:manualLayout>
              </c:layout>
              <c:tx>
                <c:rich>
                  <a:bodyPr/>
                  <a:lstStyle/>
                  <a:p>
                    <a:fld id="{6B7F2B1B-1DE2-4747-A0F8-B32A79A0F7BC}"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A337-4DBA-8C21-EB881DC52BDA}"/>
                </c:ext>
                <c:ext xmlns:c15="http://schemas.microsoft.com/office/drawing/2012/chart" uri="{CE6537A1-D6FC-4f65-9D91-7224C49458BB}">
                  <c15:dlblFieldTable/>
                  <c15:showDataLabelsRange val="1"/>
                </c:ext>
              </c:extLst>
            </c:dLbl>
            <c:dLbl>
              <c:idx val="2"/>
              <c:layout>
                <c:manualLayout>
                  <c:x val="-6.0678840738332552E-6"/>
                  <c:y val="-1.6305610121918094E-3"/>
                </c:manualLayout>
              </c:layout>
              <c:tx>
                <c:rich>
                  <a:bodyPr/>
                  <a:lstStyle/>
                  <a:p>
                    <a:fld id="{BDD33F91-38C7-405C-B474-C81D80CA3562}"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A337-4DBA-8C21-EB881DC52BDA}"/>
                </c:ext>
                <c:ext xmlns:c15="http://schemas.microsoft.com/office/drawing/2012/chart" uri="{CE6537A1-D6FC-4f65-9D91-7224C49458BB}">
                  <c15:dlblFieldTable/>
                  <c15:showDataLabelsRange val="1"/>
                </c:ext>
              </c:extLst>
            </c:dLbl>
            <c:spPr>
              <a:noFill/>
              <a:ln>
                <a:noFill/>
              </a:ln>
              <a:effectLst/>
            </c:spPr>
            <c:txPr>
              <a:bodyPr rot="0" spcFirstLastPara="1" vertOverflow="ellipsis" vert="horz"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graphs'!$B$91:$B$93</c:f>
              <c:numCache>
                <c:formatCode>General</c:formatCode>
                <c:ptCount val="3"/>
                <c:pt idx="0">
                  <c:v>-4</c:v>
                </c:pt>
                <c:pt idx="1">
                  <c:v>-2</c:v>
                </c:pt>
                <c:pt idx="2">
                  <c:v>0</c:v>
                </c:pt>
              </c:numCache>
            </c:numRef>
          </c:cat>
          <c:val>
            <c:numRef>
              <c:f>'final graphs'!$D$91:$D$93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A337-4DBA-8C21-EB881DC52BDA}"/>
            </c:ext>
            <c:ext xmlns:c15="http://schemas.microsoft.com/office/drawing/2012/chart" uri="{02D57815-91ED-43cb-92C2-25804820EDAC}">
              <c15:datalabelsRange>
                <c15:f>'final graphs'!$I$91:$I$93</c15:f>
                <c15:dlblRangeCache>
                  <c:ptCount val="3"/>
                </c15:dlblRangeCache>
              </c15:datalabelsRange>
            </c:ext>
          </c:extLst>
        </c:ser>
        <c:ser>
          <c:idx val="0"/>
          <c:order val="2"/>
          <c:tx>
            <c:strRef>
              <c:f>'final graphs'!$E$90</c:f>
              <c:strCache>
                <c:ptCount val="1"/>
                <c:pt idx="0">
                  <c:v>Pending</c:v>
                </c:pt>
              </c:strCache>
            </c:strRef>
          </c:tx>
          <c:spPr>
            <a:solidFill>
              <a:schemeClr val="bg1">
                <a:lumMod val="50000"/>
              </a:schemeClr>
            </a:solidFill>
            <a:ln>
              <a:noFill/>
            </a:ln>
            <a:effectLst/>
          </c:spPr>
          <c:invertIfNegative val="0"/>
          <c:dLbls>
            <c:delete val="1"/>
          </c:dLbls>
          <c:cat>
            <c:numRef>
              <c:f>'final graphs'!$B$91:$B$93</c:f>
              <c:numCache>
                <c:formatCode>General</c:formatCode>
                <c:ptCount val="3"/>
                <c:pt idx="0">
                  <c:v>-4</c:v>
                </c:pt>
                <c:pt idx="1">
                  <c:v>-2</c:v>
                </c:pt>
                <c:pt idx="2">
                  <c:v>0</c:v>
                </c:pt>
              </c:numCache>
            </c:numRef>
          </c:cat>
          <c:val>
            <c:numRef>
              <c:f>'final graphs'!$E$91:$E$93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9AFD-49FE-8C5C-ABC9C37ABE4F}"/>
            </c:ext>
          </c:extLst>
        </c:ser>
        <c:dLbls>
          <c:dLblPos val="ctr"/>
          <c:showLegendKey val="0"/>
          <c:showVal val="1"/>
          <c:showCatName val="0"/>
          <c:showSerName val="0"/>
          <c:showPercent val="0"/>
          <c:showBubbleSize val="0"/>
        </c:dLbls>
        <c:gapWidth val="150"/>
        <c:overlap val="100"/>
        <c:axId val="1599308320"/>
        <c:axId val="1599313760"/>
      </c:barChart>
      <c:catAx>
        <c:axId val="1599308320"/>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1599313760"/>
        <c:crosses val="autoZero"/>
        <c:auto val="1"/>
        <c:lblAlgn val="ctr"/>
        <c:lblOffset val="100"/>
        <c:noMultiLvlLbl val="0"/>
      </c:catAx>
      <c:valAx>
        <c:axId val="1599313760"/>
        <c:scaling>
          <c:orientation val="minMax"/>
          <c:max val="0.70000000000000007"/>
          <c:min val="0"/>
        </c:scaling>
        <c:delete val="0"/>
        <c:axPos val="l"/>
        <c:majorGridlines>
          <c:spPr>
            <a:ln w="9525" cap="flat" cmpd="sng" algn="ctr">
              <a:solidFill>
                <a:srgbClr val="868686"/>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933309200214545E-2"/>
              <c:y val="0.200568583653410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0.0" sourceLinked="0"/>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1599308320"/>
        <c:crosses val="autoZero"/>
        <c:crossBetween val="between"/>
      </c:valAx>
      <c:spPr>
        <a:noFill/>
        <a:ln>
          <a:noFill/>
        </a:ln>
        <a:effectLst/>
      </c:spPr>
    </c:plotArea>
    <c:legend>
      <c:legendPos val="r"/>
      <c:layout>
        <c:manualLayout>
          <c:xMode val="edge"/>
          <c:yMode val="edge"/>
          <c:x val="0.77326426779151014"/>
          <c:y val="0.19094138574353672"/>
          <c:w val="0.22673573220848978"/>
          <c:h val="0.7509811635351262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2659999778509"/>
          <c:y val="5.2966416740569545E-2"/>
          <c:w val="0.82059410030046553"/>
          <c:h val="0.76849963720405257"/>
        </c:manualLayout>
      </c:layout>
      <c:barChart>
        <c:barDir val="col"/>
        <c:grouping val="clustered"/>
        <c:varyColors val="0"/>
        <c:ser>
          <c:idx val="0"/>
          <c:order val="0"/>
          <c:tx>
            <c:strRef>
              <c:f>'final graphs'!$D$4</c:f>
              <c:strCache>
                <c:ptCount val="1"/>
                <c:pt idx="0">
                  <c:v>number of agglomerations</c:v>
                </c:pt>
              </c:strCache>
            </c:strRef>
          </c:tx>
          <c:spPr>
            <a:solidFill>
              <a:srgbClr val="558ED5"/>
            </a:solidFill>
          </c:spPr>
          <c:invertIfNegative val="0"/>
          <c:dLbls>
            <c:dLbl>
              <c:idx val="0"/>
              <c:layout>
                <c:manualLayout>
                  <c:x val="2.7434836323118428E-3"/>
                  <c:y val="1.3651877133105797E-2"/>
                </c:manualLayout>
              </c:layout>
              <c:tx>
                <c:rich>
                  <a:bodyPr/>
                  <a:lstStyle/>
                  <a:p>
                    <a:fld id="{81B8327C-393F-4013-83C7-F88490963B82}" type="CELLRANGE">
                      <a:rPr lang="en-US"/>
                      <a:pPr/>
                      <a:t>[PLAGECELL]</a:t>
                    </a:fld>
                    <a:endParaRPr lang="fr-FR"/>
                  </a:p>
                </c:rich>
              </c:tx>
              <c:dLblPos val="outEnd"/>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8B2E-4791-8E3F-2D03B07815A2}"/>
                </c:ext>
                <c:ext xmlns:c15="http://schemas.microsoft.com/office/drawing/2012/chart" uri="{CE6537A1-D6FC-4f65-9D91-7224C49458BB}">
                  <c15:dlblFieldTable/>
                  <c15:showDataLabelsRange val="1"/>
                </c:ext>
              </c:extLst>
            </c:dLbl>
            <c:dLbl>
              <c:idx val="1"/>
              <c:tx>
                <c:rich>
                  <a:bodyPr/>
                  <a:lstStyle/>
                  <a:p>
                    <a:fld id="{A27AFE94-D056-473D-9D96-743E2497CF1C}"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4838C9AA-B594-420B-9BC5-0353FBA44434}"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outEnd"/>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graphs'!$A$5:$A$7</c:f>
              <c:strCache>
                <c:ptCount val="3"/>
                <c:pt idx="0">
                  <c:v>2 000 - 10 000</c:v>
                </c:pt>
                <c:pt idx="1">
                  <c:v>10 001 - 100 000</c:v>
                </c:pt>
                <c:pt idx="2">
                  <c:v>&gt;100 000</c:v>
                </c:pt>
              </c:strCache>
            </c:strRef>
          </c:cat>
          <c:val>
            <c:numRef>
              <c:f>'final graphs'!$D$5:$D$7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8B2E-4791-8E3F-2D03B07815A2}"/>
            </c:ext>
            <c:ext xmlns:c15="http://schemas.microsoft.com/office/drawing/2012/chart" uri="{02D57815-91ED-43cb-92C2-25804820EDAC}">
              <c15:datalabelsRange>
                <c15:f>'final graphs'!$F$5:$F$7</c15:f>
                <c15:dlblRangeCache>
                  <c:ptCount val="3"/>
                </c15:dlblRangeCache>
              </c15:datalabelsRange>
            </c:ext>
          </c:extLst>
        </c:ser>
        <c:dLbls>
          <c:dLblPos val="outEnd"/>
          <c:showLegendKey val="0"/>
          <c:showVal val="1"/>
          <c:showCatName val="0"/>
          <c:showSerName val="0"/>
          <c:showPercent val="0"/>
          <c:showBubbleSize val="0"/>
        </c:dLbls>
        <c:gapWidth val="150"/>
        <c:axId val="1599310496"/>
        <c:axId val="1599321920"/>
      </c:barChart>
      <c:catAx>
        <c:axId val="1599310496"/>
        <c:scaling>
          <c:orientation val="minMax"/>
        </c:scaling>
        <c:delete val="0"/>
        <c:axPos val="b"/>
        <c:title>
          <c:tx>
            <c:rich>
              <a:bodyPr/>
              <a:lstStyle/>
              <a:p>
                <a:r>
                  <a:rPr lang="es-ES" sz="1000">
                    <a:latin typeface="Verdana" panose="020B0604030504040204" pitchFamily="34" charset="0"/>
                    <a:ea typeface="Verdana" panose="020B0604030504040204" pitchFamily="34" charset="0"/>
                  </a:rPr>
                  <a:t>Size of agglomerations [p.e.]</a:t>
                </a:r>
              </a:p>
            </c:rich>
          </c:tx>
          <c:layout>
            <c:manualLayout>
              <c:xMode val="edge"/>
              <c:yMode val="edge"/>
              <c:x val="0.30007136504631138"/>
              <c:y val="0.91160837453457855"/>
            </c:manualLayout>
          </c:layout>
          <c:overlay val="0"/>
        </c:title>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9321920"/>
        <c:crosses val="autoZero"/>
        <c:auto val="1"/>
        <c:lblAlgn val="ctr"/>
        <c:lblOffset val="100"/>
        <c:noMultiLvlLbl val="0"/>
      </c:catAx>
      <c:valAx>
        <c:axId val="1599321920"/>
        <c:scaling>
          <c:orientation val="minMax"/>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Number of agglomerations</a:t>
                </a:r>
              </a:p>
            </c:rich>
          </c:tx>
          <c:layout>
            <c:manualLayout>
              <c:xMode val="edge"/>
              <c:yMode val="edge"/>
              <c:x val="2.6193079708403195E-2"/>
              <c:y val="0.20483479658455861"/>
            </c:manualLayout>
          </c:layout>
          <c:overlay val="0"/>
        </c:title>
        <c:numFmt formatCode="#\ ##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cs typeface="Verdana" panose="020B0604030504040204" pitchFamily="34" charset="0"/>
              </a:defRPr>
            </a:pPr>
            <a:endParaRPr lang="fr-FR"/>
          </a:p>
        </c:txPr>
        <c:crossAx val="1599321920"/>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03355339873924"/>
          <c:y val="5.7095924848129753E-2"/>
          <c:w val="0.83231819570295396"/>
          <c:h val="0.76660001861623661"/>
        </c:manualLayout>
      </c:layout>
      <c:barChart>
        <c:barDir val="col"/>
        <c:grouping val="clustered"/>
        <c:varyColors val="0"/>
        <c:ser>
          <c:idx val="0"/>
          <c:order val="0"/>
          <c:tx>
            <c:strRef>
              <c:f>'final graphs'!$B$4</c:f>
              <c:strCache>
                <c:ptCount val="1"/>
                <c:pt idx="0">
                  <c:v>load</c:v>
                </c:pt>
              </c:strCache>
            </c:strRef>
          </c:tx>
          <c:spPr>
            <a:solidFill>
              <a:srgbClr val="558ED5"/>
            </a:solidFill>
          </c:spPr>
          <c:invertIfNegative val="0"/>
          <c:dLbls>
            <c:dLbl>
              <c:idx val="0"/>
              <c:tx>
                <c:rich>
                  <a:bodyPr/>
                  <a:lstStyle/>
                  <a:p>
                    <a:fld id="{0A4F8CF6-8F1B-434B-9B90-CD0B0B64AD81}" type="CELLRANGE">
                      <a:rPr lang="en-US"/>
                      <a:pPr/>
                      <a:t>[PLAGECELL]</a:t>
                    </a:fld>
                    <a:endParaRPr lang="fr-FR"/>
                  </a:p>
                </c:rich>
              </c:tx>
              <c:dLblPos val="outEnd"/>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9E64-4589-AD1B-3DED8E91CDE9}"/>
                </c:ext>
                <c:ext xmlns:c15="http://schemas.microsoft.com/office/drawing/2012/chart" uri="{CE6537A1-D6FC-4f65-9D91-7224C49458BB}">
                  <c15:dlblFieldTable/>
                  <c15:showDataLabelsRange val="1"/>
                </c:ext>
              </c:extLst>
            </c:dLbl>
            <c:dLbl>
              <c:idx val="1"/>
              <c:tx>
                <c:rich>
                  <a:bodyPr/>
                  <a:lstStyle/>
                  <a:p>
                    <a:fld id="{232B79B9-9705-4CAE-904B-D97E1CE6DA54}"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14EAD3FE-447C-4C04-8486-DE85B0DF6A22}"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outEnd"/>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graphs'!$A$5:$A$7</c:f>
              <c:strCache>
                <c:ptCount val="3"/>
                <c:pt idx="0">
                  <c:v>2 000 - 10 000</c:v>
                </c:pt>
                <c:pt idx="1">
                  <c:v>10 001 - 100 000</c:v>
                </c:pt>
                <c:pt idx="2">
                  <c:v>&gt;100 000</c:v>
                </c:pt>
              </c:strCache>
            </c:strRef>
          </c:cat>
          <c:val>
            <c:numRef>
              <c:f>'final graphs'!$B$5:$B$7</c:f>
              <c:numCache>
                <c:formatCode>0.00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9E64-4589-AD1B-3DED8E91CDE9}"/>
            </c:ext>
            <c:ext xmlns:c15="http://schemas.microsoft.com/office/drawing/2012/chart" uri="{02D57815-91ED-43cb-92C2-25804820EDAC}">
              <c15:datalabelsRange>
                <c15:f>'final graphs'!$G$5:$G$7</c15:f>
                <c15:dlblRangeCache>
                  <c:ptCount val="3"/>
                </c15:dlblRangeCache>
              </c15:datalabelsRange>
            </c:ext>
          </c:extLst>
        </c:ser>
        <c:dLbls>
          <c:dLblPos val="outEnd"/>
          <c:showLegendKey val="0"/>
          <c:showVal val="1"/>
          <c:showCatName val="0"/>
          <c:showSerName val="0"/>
          <c:showPercent val="0"/>
          <c:showBubbleSize val="0"/>
        </c:dLbls>
        <c:gapWidth val="150"/>
        <c:axId val="1599311040"/>
        <c:axId val="1599320832"/>
      </c:barChart>
      <c:catAx>
        <c:axId val="1599311040"/>
        <c:scaling>
          <c:orientation val="minMax"/>
        </c:scaling>
        <c:delete val="0"/>
        <c:axPos val="b"/>
        <c:title>
          <c:tx>
            <c:rich>
              <a:bodyPr/>
              <a:lstStyle/>
              <a:p>
                <a:r>
                  <a:rPr lang="es-ES" sz="1000">
                    <a:latin typeface="Verdana" panose="020B0604030504040204" pitchFamily="34" charset="0"/>
                    <a:ea typeface="Verdana" panose="020B0604030504040204" pitchFamily="34" charset="0"/>
                  </a:rPr>
                  <a:t>Size</a:t>
                </a:r>
                <a:r>
                  <a:rPr lang="es-ES" sz="1000" baseline="0">
                    <a:latin typeface="Verdana" panose="020B0604030504040204" pitchFamily="34" charset="0"/>
                    <a:ea typeface="Verdana" panose="020B0604030504040204" pitchFamily="34" charset="0"/>
                  </a:rPr>
                  <a:t> of a</a:t>
                </a:r>
                <a:r>
                  <a:rPr lang="es-ES" sz="1000">
                    <a:latin typeface="Verdana" panose="020B0604030504040204" pitchFamily="34" charset="0"/>
                    <a:ea typeface="Verdana" panose="020B0604030504040204" pitchFamily="34" charset="0"/>
                  </a:rPr>
                  <a:t>gglomerations</a:t>
                </a:r>
                <a:r>
                  <a:rPr lang="es-ES" sz="1000" baseline="0">
                    <a:latin typeface="Verdana" panose="020B0604030504040204" pitchFamily="34" charset="0"/>
                    <a:ea typeface="Verdana" panose="020B0604030504040204" pitchFamily="34" charset="0"/>
                  </a:rPr>
                  <a:t> [</a:t>
                </a:r>
                <a:r>
                  <a:rPr lang="es-ES" sz="1000">
                    <a:latin typeface="Verdana" panose="020B0604030504040204" pitchFamily="34" charset="0"/>
                    <a:ea typeface="Verdana" panose="020B0604030504040204" pitchFamily="34" charset="0"/>
                  </a:rPr>
                  <a:t>p.e.]</a:t>
                </a:r>
              </a:p>
            </c:rich>
          </c:tx>
          <c:overlay val="0"/>
        </c:title>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9320832"/>
        <c:crosses val="autoZero"/>
        <c:auto val="1"/>
        <c:lblAlgn val="ctr"/>
        <c:lblOffset val="100"/>
        <c:noMultiLvlLbl val="0"/>
      </c:catAx>
      <c:valAx>
        <c:axId val="1599320832"/>
        <c:scaling>
          <c:orientation val="minMax"/>
        </c:scaling>
        <c:delete val="0"/>
        <c:axPos val="l"/>
        <c:majorGridlines>
          <c:spPr>
            <a:effectLst/>
          </c:spPr>
        </c:majorGridlines>
        <c:title>
          <c:tx>
            <c:rich>
              <a:bodyPr/>
              <a:lstStyle/>
              <a:p>
                <a:r>
                  <a:rPr lang="es-ES" sz="1000">
                    <a:solidFill>
                      <a:sysClr val="windowText" lastClr="000000"/>
                    </a:solidFill>
                    <a:latin typeface="+mn-lt"/>
                  </a:rPr>
                  <a:t>Waste water</a:t>
                </a:r>
                <a:r>
                  <a:rPr lang="es-ES" sz="1000" baseline="0">
                    <a:solidFill>
                      <a:sysClr val="windowText" lastClr="000000"/>
                    </a:solidFill>
                    <a:latin typeface="+mn-lt"/>
                  </a:rPr>
                  <a:t> l</a:t>
                </a:r>
                <a:r>
                  <a:rPr lang="es-ES" sz="1000">
                    <a:solidFill>
                      <a:sysClr val="windowText" lastClr="000000"/>
                    </a:solidFill>
                    <a:latin typeface="+mn-lt"/>
                  </a:rPr>
                  <a:t>oad</a:t>
                </a:r>
                <a:r>
                  <a:rPr lang="es-ES" sz="1000" baseline="0">
                    <a:solidFill>
                      <a:sysClr val="windowText" lastClr="000000"/>
                    </a:solidFill>
                    <a:latin typeface="+mn-lt"/>
                  </a:rPr>
                  <a:t> [million </a:t>
                </a:r>
                <a:r>
                  <a:rPr lang="es-ES" sz="1000">
                    <a:solidFill>
                      <a:sysClr val="windowText" lastClr="000000"/>
                    </a:solidFill>
                    <a:latin typeface="+mn-lt"/>
                  </a:rPr>
                  <a:t>p.e.]</a:t>
                </a:r>
              </a:p>
            </c:rich>
          </c:tx>
          <c:layout>
            <c:manualLayout>
              <c:xMode val="edge"/>
              <c:yMode val="edge"/>
              <c:x val="2.6269961520808228E-2"/>
              <c:y val="0.18100527918787948"/>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9320832"/>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17508871080054"/>
          <c:y val="4.1573605470964017E-2"/>
          <c:w val="0.83113275173165801"/>
          <c:h val="0.69632062647754134"/>
        </c:manualLayout>
      </c:layout>
      <c:barChart>
        <c:barDir val="col"/>
        <c:grouping val="clustered"/>
        <c:varyColors val="1"/>
        <c:ser>
          <c:idx val="0"/>
          <c:order val="0"/>
          <c:tx>
            <c:strRef>
              <c:f>'final graphs'!$B$102</c:f>
              <c:strCache>
                <c:ptCount val="1"/>
                <c:pt idx="0">
                  <c:v>-2</c:v>
                </c:pt>
              </c:strCache>
            </c:strRef>
          </c:tx>
          <c:invertIfNegative val="0"/>
          <c:dPt>
            <c:idx val="0"/>
            <c:invertIfNegative val="0"/>
            <c:bubble3D val="0"/>
            <c:spPr>
              <a:solidFill>
                <a:srgbClr val="CCC1DA"/>
              </a:solidFill>
            </c:spPr>
            <c:extLst xmlns:c16r2="http://schemas.microsoft.com/office/drawing/2015/06/chart">
              <c:ext xmlns:c16="http://schemas.microsoft.com/office/drawing/2014/chart" uri="{C3380CC4-5D6E-409C-BE32-E72D297353CC}">
                <c16:uniqueId val="{00000001-62C4-4175-A2F7-C50F7ECB6AC7}"/>
              </c:ext>
            </c:extLst>
          </c:dPt>
          <c:dPt>
            <c:idx val="1"/>
            <c:invertIfNegative val="0"/>
            <c:bubble3D val="0"/>
            <c:spPr>
              <a:solidFill>
                <a:srgbClr val="CCC1DA"/>
              </a:solidFill>
            </c:spPr>
            <c:extLst xmlns:c16r2="http://schemas.microsoft.com/office/drawing/2015/06/chart">
              <c:ext xmlns:c16="http://schemas.microsoft.com/office/drawing/2014/chart" uri="{C3380CC4-5D6E-409C-BE32-E72D297353CC}">
                <c16:uniqueId val="{00000003-62C4-4175-A2F7-C50F7ECB6AC7}"/>
              </c:ext>
            </c:extLst>
          </c:dPt>
          <c:dPt>
            <c:idx val="2"/>
            <c:invertIfNegative val="0"/>
            <c:bubble3D val="0"/>
            <c:spPr>
              <a:solidFill>
                <a:srgbClr val="C3D69B"/>
              </a:solidFill>
            </c:spPr>
            <c:extLst xmlns:c16r2="http://schemas.microsoft.com/office/drawing/2015/06/chart">
              <c:ext xmlns:c16="http://schemas.microsoft.com/office/drawing/2014/chart" uri="{C3380CC4-5D6E-409C-BE32-E72D297353CC}">
                <c16:uniqueId val="{00000005-62C4-4175-A2F7-C50F7ECB6AC7}"/>
              </c:ext>
            </c:extLst>
          </c:dPt>
          <c:dPt>
            <c:idx val="3"/>
            <c:invertIfNegative val="0"/>
            <c:bubble3D val="0"/>
            <c:spPr>
              <a:solidFill>
                <a:srgbClr val="C3D69B"/>
              </a:solidFill>
            </c:spPr>
            <c:extLst xmlns:c16r2="http://schemas.microsoft.com/office/drawing/2015/06/chart">
              <c:ext xmlns:c16="http://schemas.microsoft.com/office/drawing/2014/chart" uri="{C3380CC4-5D6E-409C-BE32-E72D297353CC}">
                <c16:uniqueId val="{00000007-62C4-4175-A2F7-C50F7ECB6AC7}"/>
              </c:ext>
            </c:extLst>
          </c:dPt>
          <c:dPt>
            <c:idx val="4"/>
            <c:invertIfNegative val="0"/>
            <c:bubble3D val="0"/>
            <c:spPr>
              <a:solidFill>
                <a:srgbClr val="B9CDE5"/>
              </a:solidFill>
            </c:spPr>
            <c:extLst xmlns:c16r2="http://schemas.microsoft.com/office/drawing/2015/06/chart">
              <c:ext xmlns:c16="http://schemas.microsoft.com/office/drawing/2014/chart" uri="{C3380CC4-5D6E-409C-BE32-E72D297353CC}">
                <c16:uniqueId val="{00000009-62C4-4175-A2F7-C50F7ECB6AC7}"/>
              </c:ext>
            </c:extLst>
          </c:dPt>
          <c:dPt>
            <c:idx val="5"/>
            <c:invertIfNegative val="0"/>
            <c:bubble3D val="0"/>
            <c:spPr>
              <a:solidFill>
                <a:srgbClr val="B9CDE5"/>
              </a:solidFill>
            </c:spPr>
            <c:extLst xmlns:c16r2="http://schemas.microsoft.com/office/drawing/2015/06/chart">
              <c:ext xmlns:c16="http://schemas.microsoft.com/office/drawing/2014/chart" uri="{C3380CC4-5D6E-409C-BE32-E72D297353CC}">
                <c16:uniqueId val="{0000000B-62C4-4175-A2F7-C50F7ECB6AC7}"/>
              </c:ext>
            </c:extLst>
          </c:dPt>
          <c:cat>
            <c:strRef>
              <c:f>'final graphs'!$A$103:$A$108</c:f>
              <c:strCache>
                <c:ptCount val="6"/>
                <c:pt idx="0">
                  <c:v>total waste water load to be treated</c:v>
                </c:pt>
                <c:pt idx="1">
                  <c:v>collecting system in place</c:v>
                </c:pt>
                <c:pt idx="2">
                  <c:v>secondary treatment in place</c:v>
                </c:pt>
                <c:pt idx="3">
                  <c:v>compliant secondary treatment</c:v>
                </c:pt>
                <c:pt idx="4">
                  <c:v>more stringent treatment in place</c:v>
                </c:pt>
                <c:pt idx="5">
                  <c:v>compliant more stringent treatment</c:v>
                </c:pt>
              </c:strCache>
            </c:strRef>
          </c:cat>
          <c:val>
            <c:numRef>
              <c:f>'final graphs'!$B$103:$B$108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C-62C4-4175-A2F7-C50F7ECB6AC7}"/>
            </c:ext>
          </c:extLst>
        </c:ser>
        <c:ser>
          <c:idx val="1"/>
          <c:order val="1"/>
          <c:tx>
            <c:strRef>
              <c:f>'final graphs'!$C$102</c:f>
              <c:strCache>
                <c:ptCount val="1"/>
                <c:pt idx="0">
                  <c:v>0</c:v>
                </c:pt>
              </c:strCache>
            </c:strRef>
          </c:tx>
          <c:invertIfNegative val="0"/>
          <c:dPt>
            <c:idx val="0"/>
            <c:invertIfNegative val="0"/>
            <c:bubble3D val="0"/>
            <c:spPr>
              <a:solidFill>
                <a:srgbClr val="604A7B"/>
              </a:solidFill>
            </c:spPr>
            <c:extLst xmlns:c16r2="http://schemas.microsoft.com/office/drawing/2015/06/chart">
              <c:ext xmlns:c16="http://schemas.microsoft.com/office/drawing/2014/chart" uri="{C3380CC4-5D6E-409C-BE32-E72D297353CC}">
                <c16:uniqueId val="{0000000E-62C4-4175-A2F7-C50F7ECB6AC7}"/>
              </c:ext>
            </c:extLst>
          </c:dPt>
          <c:dPt>
            <c:idx val="1"/>
            <c:invertIfNegative val="0"/>
            <c:bubble3D val="0"/>
            <c:spPr>
              <a:solidFill>
                <a:srgbClr val="604A7B"/>
              </a:solidFill>
            </c:spPr>
            <c:extLst xmlns:c16r2="http://schemas.microsoft.com/office/drawing/2015/06/chart">
              <c:ext xmlns:c16="http://schemas.microsoft.com/office/drawing/2014/chart" uri="{C3380CC4-5D6E-409C-BE32-E72D297353CC}">
                <c16:uniqueId val="{00000010-62C4-4175-A2F7-C50F7ECB6AC7}"/>
              </c:ext>
            </c:extLst>
          </c:dPt>
          <c:dPt>
            <c:idx val="2"/>
            <c:invertIfNegative val="0"/>
            <c:bubble3D val="0"/>
            <c:spPr>
              <a:solidFill>
                <a:srgbClr val="77933C"/>
              </a:solidFill>
            </c:spPr>
            <c:extLst xmlns:c16r2="http://schemas.microsoft.com/office/drawing/2015/06/chart">
              <c:ext xmlns:c16="http://schemas.microsoft.com/office/drawing/2014/chart" uri="{C3380CC4-5D6E-409C-BE32-E72D297353CC}">
                <c16:uniqueId val="{00000012-62C4-4175-A2F7-C50F7ECB6AC7}"/>
              </c:ext>
            </c:extLst>
          </c:dPt>
          <c:dPt>
            <c:idx val="3"/>
            <c:invertIfNegative val="0"/>
            <c:bubble3D val="0"/>
            <c:spPr>
              <a:solidFill>
                <a:srgbClr val="77933C"/>
              </a:solidFill>
            </c:spPr>
            <c:extLst xmlns:c16r2="http://schemas.microsoft.com/office/drawing/2015/06/chart">
              <c:ext xmlns:c16="http://schemas.microsoft.com/office/drawing/2014/chart" uri="{C3380CC4-5D6E-409C-BE32-E72D297353CC}">
                <c16:uniqueId val="{00000014-62C4-4175-A2F7-C50F7ECB6AC7}"/>
              </c:ext>
            </c:extLst>
          </c:dPt>
          <c:dPt>
            <c:idx val="4"/>
            <c:invertIfNegative val="0"/>
            <c:bubble3D val="0"/>
            <c:spPr>
              <a:solidFill>
                <a:srgbClr val="376092"/>
              </a:solidFill>
            </c:spPr>
            <c:extLst xmlns:c16r2="http://schemas.microsoft.com/office/drawing/2015/06/chart">
              <c:ext xmlns:c16="http://schemas.microsoft.com/office/drawing/2014/chart" uri="{C3380CC4-5D6E-409C-BE32-E72D297353CC}">
                <c16:uniqueId val="{00000016-62C4-4175-A2F7-C50F7ECB6AC7}"/>
              </c:ext>
            </c:extLst>
          </c:dPt>
          <c:dPt>
            <c:idx val="5"/>
            <c:invertIfNegative val="0"/>
            <c:bubble3D val="0"/>
            <c:spPr>
              <a:solidFill>
                <a:srgbClr val="376092"/>
              </a:solidFill>
            </c:spPr>
            <c:extLst xmlns:c16r2="http://schemas.microsoft.com/office/drawing/2015/06/chart">
              <c:ext xmlns:c16="http://schemas.microsoft.com/office/drawing/2014/chart" uri="{C3380CC4-5D6E-409C-BE32-E72D297353CC}">
                <c16:uniqueId val="{00000018-62C4-4175-A2F7-C50F7ECB6AC7}"/>
              </c:ext>
            </c:extLst>
          </c:dPt>
          <c:cat>
            <c:strRef>
              <c:f>'final graphs'!$A$103:$A$108</c:f>
              <c:strCache>
                <c:ptCount val="6"/>
                <c:pt idx="0">
                  <c:v>total waste water load to be treated</c:v>
                </c:pt>
                <c:pt idx="1">
                  <c:v>collecting system in place</c:v>
                </c:pt>
                <c:pt idx="2">
                  <c:v>secondary treatment in place</c:v>
                </c:pt>
                <c:pt idx="3">
                  <c:v>compliant secondary treatment</c:v>
                </c:pt>
                <c:pt idx="4">
                  <c:v>more stringent treatment in place</c:v>
                </c:pt>
                <c:pt idx="5">
                  <c:v>compliant more stringent treatment</c:v>
                </c:pt>
              </c:strCache>
            </c:strRef>
          </c:cat>
          <c:val>
            <c:numRef>
              <c:f>'final graphs'!$C$103:$C$108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19-62C4-4175-A2F7-C50F7ECB6AC7}"/>
            </c:ext>
          </c:extLst>
        </c:ser>
        <c:dLbls>
          <c:showLegendKey val="0"/>
          <c:showVal val="0"/>
          <c:showCatName val="0"/>
          <c:showSerName val="0"/>
          <c:showPercent val="0"/>
          <c:showBubbleSize val="0"/>
        </c:dLbls>
        <c:gapWidth val="150"/>
        <c:axId val="1599316480"/>
        <c:axId val="1599312128"/>
      </c:barChart>
      <c:catAx>
        <c:axId val="1599316480"/>
        <c:scaling>
          <c:orientation val="minMax"/>
        </c:scaling>
        <c:delete val="0"/>
        <c:axPos val="b"/>
        <c:numFmt formatCode="General" sourceLinked="1"/>
        <c:majorTickMark val="none"/>
        <c:minorTickMark val="none"/>
        <c:tickLblPos val="nextTo"/>
        <c:txPr>
          <a:bodyPr rot="0"/>
          <a:lstStyle/>
          <a:p>
            <a:pPr>
              <a:defRPr sz="1000">
                <a:latin typeface="Verdana" panose="020B0604030504040204" pitchFamily="34" charset="0"/>
                <a:ea typeface="Verdana" panose="020B0604030504040204" pitchFamily="34" charset="0"/>
              </a:defRPr>
            </a:pPr>
            <a:endParaRPr lang="fr-FR"/>
          </a:p>
        </c:txPr>
        <c:crossAx val="1599312128"/>
        <c:crosses val="autoZero"/>
        <c:auto val="1"/>
        <c:lblAlgn val="ctr"/>
        <c:lblOffset val="100"/>
        <c:noMultiLvlLbl val="0"/>
      </c:catAx>
      <c:valAx>
        <c:axId val="1599312128"/>
        <c:scaling>
          <c:orientation val="minMax"/>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Load [Million p.e.]</a:t>
                </a:r>
              </a:p>
            </c:rich>
          </c:tx>
          <c:layout>
            <c:manualLayout>
              <c:xMode val="edge"/>
              <c:yMode val="edge"/>
              <c:x val="2.5281687285791356E-2"/>
              <c:y val="0.2048912153690560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9312128"/>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0427973804671"/>
          <c:y val="5.1766759822661761E-2"/>
          <c:w val="0.6146965417868665"/>
          <c:h val="0.77829117155605565"/>
        </c:manualLayout>
      </c:layout>
      <c:barChart>
        <c:barDir val="col"/>
        <c:grouping val="stacked"/>
        <c:varyColors val="1"/>
        <c:ser>
          <c:idx val="0"/>
          <c:order val="0"/>
          <c:tx>
            <c:strRef>
              <c:f>'final graphs'!$F$53</c:f>
              <c:strCache>
                <c:ptCount val="1"/>
                <c:pt idx="0">
                  <c:v>Target achieved</c:v>
                </c:pt>
              </c:strCache>
            </c:strRef>
          </c:tx>
          <c:spPr>
            <a:solidFill>
              <a:srgbClr val="558ED5"/>
            </a:solidFill>
          </c:spPr>
          <c:invertIfNegative val="0"/>
          <c:cat>
            <c:strRef>
              <c:f>'final graphs'!$E$54:$E$56</c:f>
              <c:strCache>
                <c:ptCount val="3"/>
                <c:pt idx="0">
                  <c:v>Collection</c:v>
                </c:pt>
                <c:pt idx="1">
                  <c:v>Secondary treatment</c:v>
                </c:pt>
                <c:pt idx="2">
                  <c:v>More stringent treatment</c:v>
                </c:pt>
              </c:strCache>
            </c:strRef>
          </c:cat>
          <c:val>
            <c:numRef>
              <c:f>'final graphs'!$F$54:$F$56</c:f>
              <c:numCache>
                <c:formatCode>_-* #\ ##0\ _€_-;\-* #\ ##0\ _€_-;_-* "-"??\ _€_-;_-@_-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3168-4FAD-BB23-61099E93A5F5}"/>
            </c:ext>
          </c:extLst>
        </c:ser>
        <c:ser>
          <c:idx val="1"/>
          <c:order val="1"/>
          <c:tx>
            <c:strRef>
              <c:f>'final graphs'!$G$53</c:f>
              <c:strCache>
                <c:ptCount val="1"/>
                <c:pt idx="0">
                  <c:v>Distance to target</c:v>
                </c:pt>
              </c:strCache>
            </c:strRef>
          </c:tx>
          <c:spPr>
            <a:solidFill>
              <a:srgbClr val="FF0000"/>
            </a:solidFill>
          </c:spPr>
          <c:invertIfNegative val="0"/>
          <c:dLbls>
            <c:dLbl>
              <c:idx val="0"/>
              <c:layout>
                <c:manualLayout>
                  <c:x val="2.4126928159506288E-3"/>
                  <c:y val="3.0616317697367973E-3"/>
                </c:manualLayout>
              </c:layout>
              <c:tx>
                <c:rich>
                  <a:bodyPr/>
                  <a:lstStyle/>
                  <a:p>
                    <a:fld id="{1F9BA23B-DC78-4201-8F88-9D07FD1BFF4E}"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3168-4FAD-BB23-61099E93A5F5}"/>
                </c:ext>
                <c:ext xmlns:c15="http://schemas.microsoft.com/office/drawing/2012/chart" uri="{CE6537A1-D6FC-4f65-9D91-7224C49458BB}">
                  <c15:dlblFieldTable/>
                  <c15:showDataLabelsRange val="1"/>
                </c:ext>
              </c:extLst>
            </c:dLbl>
            <c:dLbl>
              <c:idx val="1"/>
              <c:layout>
                <c:manualLayout>
                  <c:x val="-2.3954384860986407E-3"/>
                  <c:y val="-1.4780979254984438E-2"/>
                </c:manualLayout>
              </c:layout>
              <c:tx>
                <c:rich>
                  <a:bodyPr/>
                  <a:lstStyle/>
                  <a:p>
                    <a:fld id="{2DA7EF24-CAB8-4741-8779-828EB8D7CC74}"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3168-4FAD-BB23-61099E93A5F5}"/>
                </c:ext>
                <c:ext xmlns:c15="http://schemas.microsoft.com/office/drawing/2012/chart" uri="{CE6537A1-D6FC-4f65-9D91-7224C49458BB}">
                  <c15:dlblFieldTable/>
                  <c15:showDataLabelsRange val="1"/>
                </c:ext>
              </c:extLst>
            </c:dLbl>
            <c:dLbl>
              <c:idx val="2"/>
              <c:layout>
                <c:manualLayout>
                  <c:x val="-1.5258857242295911E-3"/>
                  <c:y val="5.9658146524139144E-3"/>
                </c:manualLayout>
              </c:layout>
              <c:tx>
                <c:rich>
                  <a:bodyPr/>
                  <a:lstStyle/>
                  <a:p>
                    <a:fld id="{B7E54EF7-F340-4DC6-A231-3EC6B10B3BCC}"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3168-4FAD-BB23-61099E93A5F5}"/>
                </c:ex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graphs'!$E$54:$E$56</c:f>
              <c:strCache>
                <c:ptCount val="3"/>
                <c:pt idx="0">
                  <c:v>Collection</c:v>
                </c:pt>
                <c:pt idx="1">
                  <c:v>Secondary treatment</c:v>
                </c:pt>
                <c:pt idx="2">
                  <c:v>More stringent treatment</c:v>
                </c:pt>
              </c:strCache>
            </c:strRef>
          </c:cat>
          <c:val>
            <c:numRef>
              <c:f>'final graphs'!$G$54:$G$56</c:f>
              <c:numCache>
                <c:formatCode>_-* #\ ##0\ _€_-;\-* #\ ##0\ _€_-;_-* "-"??\ _€_-;_-@_-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3168-4FAD-BB23-61099E93A5F5}"/>
            </c:ext>
            <c:ext xmlns:c15="http://schemas.microsoft.com/office/drawing/2012/chart" uri="{02D57815-91ED-43cb-92C2-25804820EDAC}">
              <c15:datalabelsRange>
                <c15:f>'final graphs'!$K$54:$K$56</c15:f>
                <c15:dlblRangeCache>
                  <c:ptCount val="3"/>
                </c15:dlblRangeCache>
              </c15:datalabelsRange>
            </c:ext>
          </c:extLst>
        </c:ser>
        <c:ser>
          <c:idx val="2"/>
          <c:order val="2"/>
          <c:tx>
            <c:strRef>
              <c:f>'final graphs'!$H$53</c:f>
              <c:strCache>
                <c:ptCount val="1"/>
                <c:pt idx="0">
                  <c:v>Pending</c:v>
                </c:pt>
              </c:strCache>
            </c:strRef>
          </c:tx>
          <c:spPr>
            <a:solidFill>
              <a:schemeClr val="bg1">
                <a:lumMod val="50000"/>
              </a:schemeClr>
            </a:solidFill>
          </c:spPr>
          <c:invertIfNegative val="0"/>
          <c:cat>
            <c:strRef>
              <c:f>'final graphs'!$E$54:$E$56</c:f>
              <c:strCache>
                <c:ptCount val="3"/>
                <c:pt idx="0">
                  <c:v>Collection</c:v>
                </c:pt>
                <c:pt idx="1">
                  <c:v>Secondary treatment</c:v>
                </c:pt>
                <c:pt idx="2">
                  <c:v>More stringent treatment</c:v>
                </c:pt>
              </c:strCache>
            </c:strRef>
          </c:cat>
          <c:val>
            <c:numRef>
              <c:f>'final graphs'!$H$54:$H$56</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2C-3168-4FAD-BB23-61099E93A5F5}"/>
            </c:ext>
          </c:extLst>
        </c:ser>
        <c:dLbls>
          <c:showLegendKey val="0"/>
          <c:showVal val="0"/>
          <c:showCatName val="0"/>
          <c:showSerName val="0"/>
          <c:showPercent val="0"/>
          <c:showBubbleSize val="0"/>
        </c:dLbls>
        <c:gapWidth val="150"/>
        <c:overlap val="100"/>
        <c:axId val="1599309952"/>
        <c:axId val="1599312672"/>
      </c:barChart>
      <c:lineChart>
        <c:grouping val="stacked"/>
        <c:varyColors val="1"/>
        <c:ser>
          <c:idx val="3"/>
          <c:order val="3"/>
          <c:tx>
            <c:strRef>
              <c:f>'final graphs'!$I$53</c:f>
              <c:strCache>
                <c:ptCount val="1"/>
                <c:pt idx="0">
                  <c:v>Total waste water load</c:v>
                </c:pt>
              </c:strCache>
            </c:strRef>
          </c:tx>
          <c:spPr>
            <a:ln>
              <a:solidFill>
                <a:schemeClr val="accent6"/>
              </a:solidFill>
            </a:ln>
          </c:spPr>
          <c:marker>
            <c:symbol val="none"/>
          </c:marker>
          <c:cat>
            <c:strRef>
              <c:f>'final graphs'!$E$54:$E$56</c:f>
              <c:strCache>
                <c:ptCount val="3"/>
                <c:pt idx="0">
                  <c:v>Collection</c:v>
                </c:pt>
                <c:pt idx="1">
                  <c:v>Secondary treatment</c:v>
                </c:pt>
                <c:pt idx="2">
                  <c:v>More stringent treatment</c:v>
                </c:pt>
              </c:strCache>
            </c:strRef>
          </c:cat>
          <c:val>
            <c:numRef>
              <c:f>'final graphs'!$I$54:$I$56</c:f>
              <c:numCache>
                <c:formatCode>#\ ##0.0</c:formatCode>
                <c:ptCount val="3"/>
                <c:pt idx="0">
                  <c:v>0</c:v>
                </c:pt>
                <c:pt idx="1">
                  <c:v>0</c:v>
                </c:pt>
                <c:pt idx="2">
                  <c:v>0</c:v>
                </c:pt>
              </c:numCache>
            </c:numRef>
          </c:val>
          <c:smooth val="0"/>
          <c:extLst xmlns:c16r2="http://schemas.microsoft.com/office/drawing/2015/06/chart">
            <c:ext xmlns:c16="http://schemas.microsoft.com/office/drawing/2014/chart" uri="{C3380CC4-5D6E-409C-BE32-E72D297353CC}">
              <c16:uniqueId val="{0000002D-3168-4FAD-BB23-61099E93A5F5}"/>
            </c:ext>
          </c:extLst>
        </c:ser>
        <c:dLbls>
          <c:showLegendKey val="0"/>
          <c:showVal val="0"/>
          <c:showCatName val="0"/>
          <c:showSerName val="0"/>
          <c:showPercent val="0"/>
          <c:showBubbleSize val="0"/>
        </c:dLbls>
        <c:marker val="1"/>
        <c:smooth val="0"/>
        <c:axId val="1599323008"/>
        <c:axId val="1599322464"/>
      </c:lineChart>
      <c:catAx>
        <c:axId val="1599309952"/>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9312672"/>
        <c:crosses val="autoZero"/>
        <c:auto val="1"/>
        <c:lblAlgn val="ctr"/>
        <c:lblOffset val="100"/>
        <c:noMultiLvlLbl val="0"/>
      </c:catAx>
      <c:valAx>
        <c:axId val="1599312672"/>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2.9743522351446629E-4"/>
              <c:y val="0.1019437608485481"/>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9309952"/>
        <c:crosses val="autoZero"/>
        <c:crossBetween val="between"/>
      </c:valAx>
      <c:valAx>
        <c:axId val="1599322464"/>
        <c:scaling>
          <c:orientation val="minMax"/>
        </c:scaling>
        <c:delete val="1"/>
        <c:axPos val="r"/>
        <c:numFmt formatCode="#\ ##0.0" sourceLinked="1"/>
        <c:majorTickMark val="out"/>
        <c:minorTickMark val="none"/>
        <c:tickLblPos val="nextTo"/>
        <c:crossAx val="1599323008"/>
        <c:crosses val="max"/>
        <c:crossBetween val="midCat"/>
      </c:valAx>
      <c:catAx>
        <c:axId val="1599323008"/>
        <c:scaling>
          <c:orientation val="minMax"/>
        </c:scaling>
        <c:delete val="0"/>
        <c:axPos val="t"/>
        <c:numFmt formatCode="General" sourceLinked="1"/>
        <c:majorTickMark val="out"/>
        <c:minorTickMark val="none"/>
        <c:tickLblPos val="nextTo"/>
        <c:spPr>
          <a:noFill/>
          <a:ln>
            <a:noFill/>
          </a:ln>
        </c:spPr>
        <c:txPr>
          <a:bodyPr/>
          <a:lstStyle/>
          <a:p>
            <a:pPr>
              <a:defRPr>
                <a:noFill/>
              </a:defRPr>
            </a:pPr>
            <a:endParaRPr lang="fr-FR"/>
          </a:p>
        </c:txPr>
        <c:crossAx val="1599322464"/>
        <c:crosses val="max"/>
        <c:auto val="1"/>
        <c:lblAlgn val="ctr"/>
        <c:lblOffset val="100"/>
        <c:noMultiLvlLbl val="0"/>
      </c:catAx>
    </c:plotArea>
    <c:legend>
      <c:legendPos val="r"/>
      <c:layout>
        <c:manualLayout>
          <c:xMode val="edge"/>
          <c:yMode val="edge"/>
          <c:x val="0.75732239264366485"/>
          <c:y val="0.18996606842751285"/>
          <c:w val="0.24267760735633517"/>
          <c:h val="0.67644209183070636"/>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61339141117999"/>
          <c:y val="6.047637107666004E-2"/>
          <c:w val="0.51413916345563193"/>
          <c:h val="0.8246865165119408"/>
        </c:manualLayout>
      </c:layout>
      <c:barChart>
        <c:barDir val="col"/>
        <c:grouping val="stacked"/>
        <c:varyColors val="1"/>
        <c:ser>
          <c:idx val="0"/>
          <c:order val="0"/>
          <c:tx>
            <c:strRef>
              <c:f>'final graphs'!$A$120</c:f>
              <c:strCache>
                <c:ptCount val="1"/>
                <c:pt idx="0">
                  <c:v>Re-used: Soil and agriculture </c:v>
                </c:pt>
              </c:strCache>
            </c:strRef>
          </c:tx>
          <c:spPr>
            <a:solidFill>
              <a:srgbClr val="77933C"/>
            </a:solidFill>
          </c:spPr>
          <c:invertIfNegative val="0"/>
          <c:dLbls>
            <c:dLbl>
              <c:idx val="0"/>
              <c:tx>
                <c:rich>
                  <a:bodyPr/>
                  <a:lstStyle/>
                  <a:p>
                    <a:fld id="{0FBFD5DF-7EA9-47EE-A929-5F0BCFE29195}"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0316638C-8617-405E-BB98-8C460AC10E8C}"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D1AFEA80-ADE3-475B-A538-D620B9D720C5}"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graphs'!$B$119:$D$119</c:f>
              <c:numCache>
                <c:formatCode>General</c:formatCode>
                <c:ptCount val="3"/>
                <c:pt idx="0">
                  <c:v>-4</c:v>
                </c:pt>
                <c:pt idx="1">
                  <c:v>-2</c:v>
                </c:pt>
                <c:pt idx="2">
                  <c:v>0</c:v>
                </c:pt>
              </c:numCache>
            </c:numRef>
          </c:cat>
          <c:val>
            <c:numRef>
              <c:f>'final graphs'!$B$120:$D$120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8D2A-48F3-BF83-2F20728FE357}"/>
            </c:ext>
            <c:ext xmlns:c15="http://schemas.microsoft.com/office/drawing/2012/chart" uri="{02D57815-91ED-43cb-92C2-25804820EDAC}">
              <c15:datalabelsRange>
                <c15:f>'final graphs'!$E$121:$G$121</c15:f>
                <c15:dlblRangeCache>
                  <c:ptCount val="3"/>
                  <c:pt idx="0">
                    <c:v>#DIV/0!</c:v>
                  </c:pt>
                  <c:pt idx="1">
                    <c:v>#DIV/0!</c:v>
                  </c:pt>
                  <c:pt idx="2">
                    <c:v>#DIV/0!</c:v>
                  </c:pt>
                </c15:dlblRangeCache>
              </c15:datalabelsRange>
            </c:ext>
          </c:extLst>
        </c:ser>
        <c:ser>
          <c:idx val="1"/>
          <c:order val="1"/>
          <c:tx>
            <c:strRef>
              <c:f>'final graphs'!$A$121</c:f>
              <c:strCache>
                <c:ptCount val="1"/>
                <c:pt idx="0">
                  <c:v>Re-used: Others </c:v>
                </c:pt>
              </c:strCache>
            </c:strRef>
          </c:tx>
          <c:spPr>
            <a:solidFill>
              <a:srgbClr val="953735"/>
            </a:solidFill>
          </c:spPr>
          <c:invertIfNegative val="0"/>
          <c:cat>
            <c:numRef>
              <c:f>'final graphs'!$B$119:$D$119</c:f>
              <c:numCache>
                <c:formatCode>General</c:formatCode>
                <c:ptCount val="3"/>
                <c:pt idx="0">
                  <c:v>-4</c:v>
                </c:pt>
                <c:pt idx="1">
                  <c:v>-2</c:v>
                </c:pt>
                <c:pt idx="2">
                  <c:v>0</c:v>
                </c:pt>
              </c:numCache>
            </c:numRef>
          </c:cat>
          <c:val>
            <c:numRef>
              <c:f>'final graphs'!$B$121:$D$121</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8D2A-48F3-BF83-2F20728FE357}"/>
            </c:ext>
          </c:extLst>
        </c:ser>
        <c:ser>
          <c:idx val="2"/>
          <c:order val="2"/>
          <c:tx>
            <c:strRef>
              <c:f>'final graphs'!$A$122</c:f>
              <c:strCache>
                <c:ptCount val="1"/>
                <c:pt idx="0">
                  <c:v>Disposed: Landfill </c:v>
                </c:pt>
              </c:strCache>
            </c:strRef>
          </c:tx>
          <c:spPr>
            <a:solidFill>
              <a:srgbClr val="C00000"/>
            </a:solidFill>
          </c:spPr>
          <c:invertIfNegative val="0"/>
          <c:cat>
            <c:numRef>
              <c:f>'final graphs'!$B$119:$D$119</c:f>
              <c:numCache>
                <c:formatCode>General</c:formatCode>
                <c:ptCount val="3"/>
                <c:pt idx="0">
                  <c:v>-4</c:v>
                </c:pt>
                <c:pt idx="1">
                  <c:v>-2</c:v>
                </c:pt>
                <c:pt idx="2">
                  <c:v>0</c:v>
                </c:pt>
              </c:numCache>
            </c:numRef>
          </c:cat>
          <c:val>
            <c:numRef>
              <c:f>'final graphs'!$B$122:$D$122</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8D2A-48F3-BF83-2F20728FE357}"/>
            </c:ext>
          </c:extLst>
        </c:ser>
        <c:ser>
          <c:idx val="3"/>
          <c:order val="3"/>
          <c:tx>
            <c:strRef>
              <c:f>'final graphs'!$A$123</c:f>
              <c:strCache>
                <c:ptCount val="1"/>
                <c:pt idx="0">
                  <c:v>Disposed: Incineration </c:v>
                </c:pt>
              </c:strCache>
            </c:strRef>
          </c:tx>
          <c:spPr>
            <a:solidFill>
              <a:srgbClr val="71588F"/>
            </a:solidFill>
          </c:spPr>
          <c:invertIfNegative val="0"/>
          <c:cat>
            <c:numRef>
              <c:f>'final graphs'!$B$119:$D$119</c:f>
              <c:numCache>
                <c:formatCode>General</c:formatCode>
                <c:ptCount val="3"/>
                <c:pt idx="0">
                  <c:v>-4</c:v>
                </c:pt>
                <c:pt idx="1">
                  <c:v>-2</c:v>
                </c:pt>
                <c:pt idx="2">
                  <c:v>0</c:v>
                </c:pt>
              </c:numCache>
            </c:numRef>
          </c:cat>
          <c:val>
            <c:numRef>
              <c:f>'final graphs'!$B$123:$D$123</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5-8D2A-48F3-BF83-2F20728FE357}"/>
            </c:ext>
          </c:extLst>
        </c:ser>
        <c:ser>
          <c:idx val="4"/>
          <c:order val="4"/>
          <c:tx>
            <c:strRef>
              <c:f>'final graphs'!$A$124</c:f>
              <c:strCache>
                <c:ptCount val="1"/>
                <c:pt idx="0">
                  <c:v>Disposed: Others </c:v>
                </c:pt>
              </c:strCache>
            </c:strRef>
          </c:tx>
          <c:spPr>
            <a:solidFill>
              <a:srgbClr val="4198AF"/>
            </a:solidFill>
          </c:spPr>
          <c:invertIfNegative val="0"/>
          <c:cat>
            <c:numRef>
              <c:f>'final graphs'!$B$119:$D$119</c:f>
              <c:numCache>
                <c:formatCode>General</c:formatCode>
                <c:ptCount val="3"/>
                <c:pt idx="0">
                  <c:v>-4</c:v>
                </c:pt>
                <c:pt idx="1">
                  <c:v>-2</c:v>
                </c:pt>
                <c:pt idx="2">
                  <c:v>0</c:v>
                </c:pt>
              </c:numCache>
            </c:numRef>
          </c:cat>
          <c:val>
            <c:numRef>
              <c:f>'final graphs'!$B$124:$D$124</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8D2A-48F3-BF83-2F20728FE357}"/>
            </c:ext>
          </c:extLst>
        </c:ser>
        <c:ser>
          <c:idx val="5"/>
          <c:order val="5"/>
          <c:tx>
            <c:strRef>
              <c:f>'final graphs'!$A$125</c:f>
              <c:strCache>
                <c:ptCount val="1"/>
                <c:pt idx="0">
                  <c:v>Not reported</c:v>
                </c:pt>
              </c:strCache>
            </c:strRef>
          </c:tx>
          <c:spPr>
            <a:solidFill>
              <a:srgbClr val="DB843D"/>
            </a:solidFill>
          </c:spPr>
          <c:invertIfNegative val="0"/>
          <c:cat>
            <c:numRef>
              <c:f>'final graphs'!$B$119:$D$119</c:f>
              <c:numCache>
                <c:formatCode>General</c:formatCode>
                <c:ptCount val="3"/>
                <c:pt idx="0">
                  <c:v>-4</c:v>
                </c:pt>
                <c:pt idx="1">
                  <c:v>-2</c:v>
                </c:pt>
                <c:pt idx="2">
                  <c:v>0</c:v>
                </c:pt>
              </c:numCache>
            </c:numRef>
          </c:cat>
          <c:val>
            <c:numRef>
              <c:f>'final graphs'!$B$125:$D$125</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8-8D2A-48F3-BF83-2F20728FE357}"/>
            </c:ext>
          </c:extLst>
        </c:ser>
        <c:dLbls>
          <c:showLegendKey val="0"/>
          <c:showVal val="0"/>
          <c:showCatName val="0"/>
          <c:showSerName val="0"/>
          <c:showPercent val="0"/>
          <c:showBubbleSize val="0"/>
        </c:dLbls>
        <c:gapWidth val="150"/>
        <c:overlap val="100"/>
        <c:axId val="1599321376"/>
        <c:axId val="1599308864"/>
      </c:barChart>
      <c:catAx>
        <c:axId val="1599321376"/>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9308864"/>
        <c:crosses val="autoZero"/>
        <c:auto val="1"/>
        <c:lblAlgn val="ctr"/>
        <c:lblOffset val="100"/>
        <c:noMultiLvlLbl val="0"/>
      </c:catAx>
      <c:valAx>
        <c:axId val="1599308864"/>
        <c:scaling>
          <c:orientation val="minMax"/>
        </c:scaling>
        <c:delete val="0"/>
        <c:axPos val="l"/>
        <c:majorGridlines>
          <c:spPr>
            <a:effectLst/>
          </c:spPr>
        </c:majorGridlines>
        <c:title>
          <c:tx>
            <c:rich>
              <a:bodyPr/>
              <a:lstStyle/>
              <a:p>
                <a:r>
                  <a:rPr lang="en-GB" sz="1000">
                    <a:latin typeface="Verdana" panose="020B0604030504040204" pitchFamily="34" charset="0"/>
                    <a:ea typeface="Verdana" panose="020B0604030504040204" pitchFamily="34" charset="0"/>
                  </a:rPr>
                  <a:t>t DS/y</a:t>
                </a:r>
              </a:p>
            </c:rich>
          </c:tx>
          <c:layout>
            <c:manualLayout>
              <c:xMode val="edge"/>
              <c:yMode val="edge"/>
              <c:x val="1.1820330969267139E-2"/>
              <c:y val="0.52911311235796121"/>
            </c:manualLayout>
          </c:layout>
          <c:overlay val="0"/>
        </c:title>
        <c:numFmt formatCode="#,##0" sourceLinked="1"/>
        <c:majorTickMark val="none"/>
        <c:minorTickMark val="none"/>
        <c:tickLblPos val="nextTo"/>
        <c:spPr>
          <a:ln w="9525" cap="flat" cmpd="sng">
            <a:prstDash val="solid"/>
            <a:bevel/>
          </a:ln>
          <a:effectLst/>
        </c:spPr>
        <c:txPr>
          <a:bodyPr/>
          <a:lstStyle/>
          <a:p>
            <a:pPr>
              <a:defRPr sz="1000">
                <a:latin typeface="Verdana" panose="020B0604030504040204" pitchFamily="34" charset="0"/>
                <a:ea typeface="Verdana" panose="020B0604030504040204" pitchFamily="34" charset="0"/>
              </a:defRPr>
            </a:pPr>
            <a:endParaRPr lang="fr-FR"/>
          </a:p>
        </c:txPr>
        <c:crossAx val="1599308864"/>
        <c:crosses val="autoZero"/>
        <c:crossBetween val="midCat"/>
      </c:valAx>
    </c:plotArea>
    <c:legend>
      <c:legendPos val="r"/>
      <c:layout>
        <c:manualLayout>
          <c:xMode val="edge"/>
          <c:yMode val="edge"/>
          <c:x val="0.69275247883072399"/>
          <c:y val="9.737294108182433E-2"/>
          <c:w val="0.29893824786324785"/>
          <c:h val="0.79552083333333334"/>
        </c:manualLayout>
      </c:layout>
      <c:overlay val="0"/>
      <c:txPr>
        <a:bodyPr/>
        <a:lstStyle/>
        <a:p>
          <a:pPr rtl="0">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47469398183637"/>
          <c:y val="6.7001964136377754E-2"/>
          <c:w val="0.64822205188953153"/>
          <c:h val="0.83370694259567035"/>
        </c:manualLayout>
      </c:layout>
      <c:barChart>
        <c:barDir val="col"/>
        <c:grouping val="stacked"/>
        <c:varyColors val="1"/>
        <c:ser>
          <c:idx val="0"/>
          <c:order val="0"/>
          <c:tx>
            <c:strRef>
              <c:f>'final graphs'!$E$20</c:f>
              <c:strCache>
                <c:ptCount val="1"/>
                <c:pt idx="0">
                  <c:v>Compliant</c:v>
                </c:pt>
              </c:strCache>
            </c:strRef>
          </c:tx>
          <c:spPr>
            <a:solidFill>
              <a:srgbClr val="558ED5"/>
            </a:solidFill>
          </c:spPr>
          <c:invertIfNegative val="0"/>
          <c:dLbls>
            <c:dLbl>
              <c:idx val="0"/>
              <c:tx>
                <c:rich>
                  <a:bodyPr/>
                  <a:lstStyle/>
                  <a:p>
                    <a:fld id="{3886E7D4-F7E7-412D-8BA4-30A5F5B8A947}"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781985FF-394A-4DF9-878D-6183796AC00D}"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072EB0F9-1AE8-49C3-9786-983316CFE223}"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0"/>
              </c:ext>
            </c:extLst>
          </c:dLbls>
          <c:cat>
            <c:numRef>
              <c:f>'final graphs'!$D$21:$D$23</c:f>
              <c:numCache>
                <c:formatCode>General</c:formatCode>
                <c:ptCount val="3"/>
                <c:pt idx="0">
                  <c:v>-4</c:v>
                </c:pt>
                <c:pt idx="1">
                  <c:v>-2</c:v>
                </c:pt>
                <c:pt idx="2">
                  <c:v>0</c:v>
                </c:pt>
              </c:numCache>
            </c:numRef>
          </c:cat>
          <c:val>
            <c:numRef>
              <c:f>'final graphs'!$E$21:$E$23</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3A50-4932-AD41-1A9043FD762B}"/>
            </c:ext>
            <c:ext xmlns:c15="http://schemas.microsoft.com/office/drawing/2012/chart" uri="{02D57815-91ED-43cb-92C2-25804820EDAC}">
              <c15:datalabelsRange>
                <c15:f>'final graphs'!$I$21:$I$23</c15:f>
                <c15:dlblRangeCache>
                  <c:ptCount val="3"/>
                  <c:pt idx="0">
                    <c:v>#DIV/0!</c:v>
                  </c:pt>
                  <c:pt idx="1">
                    <c:v>#DIV/0!</c:v>
                  </c:pt>
                  <c:pt idx="2">
                    <c:v>#DIV/0!</c:v>
                  </c:pt>
                </c15:dlblRangeCache>
              </c15:datalabelsRange>
            </c:ext>
          </c:extLst>
        </c:ser>
        <c:ser>
          <c:idx val="1"/>
          <c:order val="1"/>
          <c:tx>
            <c:strRef>
              <c:f>'final graphs'!$F$20</c:f>
              <c:strCache>
                <c:ptCount val="1"/>
                <c:pt idx="0">
                  <c:v>Non-compliant</c:v>
                </c:pt>
              </c:strCache>
            </c:strRef>
          </c:tx>
          <c:spPr>
            <a:solidFill>
              <a:srgbClr val="FF0000"/>
            </a:solidFill>
          </c:spPr>
          <c:invertIfNegative val="0"/>
          <c:cat>
            <c:numRef>
              <c:f>'final graphs'!$D$21:$D$23</c:f>
              <c:numCache>
                <c:formatCode>General</c:formatCode>
                <c:ptCount val="3"/>
                <c:pt idx="0">
                  <c:v>-4</c:v>
                </c:pt>
                <c:pt idx="1">
                  <c:v>-2</c:v>
                </c:pt>
                <c:pt idx="2">
                  <c:v>0</c:v>
                </c:pt>
              </c:numCache>
            </c:numRef>
          </c:cat>
          <c:val>
            <c:numRef>
              <c:f>'final graphs'!$F$21:$F$23</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3A50-4932-AD41-1A9043FD762B}"/>
            </c:ext>
          </c:extLst>
        </c:ser>
        <c:dLbls>
          <c:showLegendKey val="0"/>
          <c:showVal val="0"/>
          <c:showCatName val="0"/>
          <c:showSerName val="0"/>
          <c:showPercent val="0"/>
          <c:showBubbleSize val="0"/>
        </c:dLbls>
        <c:gapWidth val="150"/>
        <c:overlap val="100"/>
        <c:axId val="1599314304"/>
        <c:axId val="1599317024"/>
      </c:barChart>
      <c:catAx>
        <c:axId val="1599314304"/>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599317024"/>
        <c:crossesAt val="0"/>
        <c:auto val="1"/>
        <c:lblAlgn val="ctr"/>
        <c:lblOffset val="100"/>
        <c:noMultiLvlLbl val="0"/>
      </c:catAx>
      <c:valAx>
        <c:axId val="1599317024"/>
        <c:scaling>
          <c:orientation val="minMax"/>
          <c:min val="0"/>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Waste water load [Million</a:t>
                </a:r>
                <a:r>
                  <a:rPr lang="es-ES" sz="1000" baseline="0">
                    <a:solidFill>
                      <a:sysClr val="windowText" lastClr="000000"/>
                    </a:solidFill>
                    <a:latin typeface="Verdana" panose="020B0604030504040204" pitchFamily="34" charset="0"/>
                    <a:ea typeface="Verdana" panose="020B0604030504040204" pitchFamily="34" charset="0"/>
                  </a:rPr>
                  <a:t> </a:t>
                </a:r>
                <a:r>
                  <a:rPr lang="es-ES" sz="1000">
                    <a:solidFill>
                      <a:sysClr val="windowText" lastClr="000000"/>
                    </a:solidFill>
                    <a:latin typeface="Verdana" panose="020B0604030504040204" pitchFamily="34" charset="0"/>
                    <a:ea typeface="Verdana" panose="020B0604030504040204" pitchFamily="34" charset="0"/>
                  </a:rPr>
                  <a:t>p.e.]</a:t>
                </a:r>
              </a:p>
            </c:rich>
          </c:tx>
          <c:layout>
            <c:manualLayout>
              <c:xMode val="edge"/>
              <c:yMode val="edge"/>
              <c:x val="1.7608333333333333E-2"/>
              <c:y val="0.15302828664246926"/>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9317024"/>
        <c:crossesAt val="0"/>
        <c:crossBetween val="midCat"/>
      </c:valAx>
    </c:plotArea>
    <c:legend>
      <c:legendPos val="r"/>
      <c:layout>
        <c:manualLayout>
          <c:xMode val="edge"/>
          <c:yMode val="edge"/>
          <c:x val="0.7747801082386826"/>
          <c:y val="0.1776856295866942"/>
          <c:w val="0.21815950590772634"/>
          <c:h val="0.2413252383410517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r>
              <a:rPr lang="en-US" sz="1000" b="0" i="0" baseline="0">
                <a:solidFill>
                  <a:sysClr val="windowText" lastClr="000000"/>
                </a:solidFill>
                <a:effectLst/>
              </a:rPr>
              <a:t>Compliance by number of agglomerations</a:t>
            </a:r>
            <a:endParaRPr lang="fr-FR" sz="1000">
              <a:solidFill>
                <a:sysClr val="windowText" lastClr="000000"/>
              </a:solidFill>
              <a:effectLst/>
            </a:endParaRPr>
          </a:p>
          <a:p>
            <a:pPr>
              <a:defRPr sz="1000">
                <a:solidFill>
                  <a:sysClr val="windowText" lastClr="000000"/>
                </a:solidFill>
              </a:defRPr>
            </a:pPr>
            <a:r>
              <a:rPr lang="en-US" sz="1000" b="0" i="0" baseline="0">
                <a:solidFill>
                  <a:sysClr val="windowText" lastClr="000000"/>
                </a:solidFill>
                <a:effectLst/>
              </a:rPr>
              <a:t>[% of agglomerations in 2018]</a:t>
            </a:r>
            <a:endParaRPr lang="en-US" sz="1000">
              <a:solidFill>
                <a:sysClr val="windowText" lastClr="000000"/>
              </a:solidFill>
            </a:endParaRPr>
          </a:p>
        </c:rich>
      </c:tx>
      <c:layout>
        <c:manualLayout>
          <c:xMode val="edge"/>
          <c:yMode val="edge"/>
          <c:x val="0.1631252134829885"/>
          <c:y val="5.7630851878936816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autoTitleDeleted val="0"/>
    <c:plotArea>
      <c:layout>
        <c:manualLayout>
          <c:layoutTarget val="inner"/>
          <c:xMode val="edge"/>
          <c:yMode val="edge"/>
          <c:x val="0.22214850813322262"/>
          <c:y val="0.39325150054890678"/>
          <c:w val="0.37205535889133229"/>
          <c:h val="0.59275931701680928"/>
        </c:manualLayout>
      </c:layout>
      <c:doughnutChart>
        <c:varyColors val="1"/>
        <c:ser>
          <c:idx val="0"/>
          <c:order val="0"/>
          <c:spPr>
            <a:solidFill>
              <a:srgbClr val="558ED5"/>
            </a:solidFill>
          </c:spPr>
          <c:dPt>
            <c:idx val="0"/>
            <c:bubble3D val="0"/>
            <c:spPr>
              <a:solidFill>
                <a:srgbClr val="FF0000"/>
              </a:solidFill>
              <a:ln w="19050">
                <a:solidFill>
                  <a:schemeClr val="lt1"/>
                </a:solidFill>
              </a:ln>
              <a:effectLst/>
            </c:spPr>
            <c:extLst xmlns:c16r2="http://schemas.microsoft.com/office/drawing/2015/06/chart">
              <c:ext xmlns:c16="http://schemas.microsoft.com/office/drawing/2014/chart" uri="{C3380CC4-5D6E-409C-BE32-E72D297353CC}">
                <c16:uniqueId val="{00000001-19C4-4608-9C50-213556DEABD2}"/>
              </c:ext>
            </c:extLst>
          </c:dPt>
          <c:dPt>
            <c:idx val="1"/>
            <c:bubble3D val="0"/>
            <c:spPr>
              <a:solidFill>
                <a:srgbClr val="558ED5"/>
              </a:solidFill>
              <a:ln w="19050">
                <a:solidFill>
                  <a:schemeClr val="lt1"/>
                </a:solidFill>
              </a:ln>
              <a:effectLst/>
            </c:spPr>
            <c:extLst xmlns:c16r2="http://schemas.microsoft.com/office/drawing/2015/06/chart">
              <c:ext xmlns:c16="http://schemas.microsoft.com/office/drawing/2014/chart" uri="{C3380CC4-5D6E-409C-BE32-E72D297353CC}">
                <c16:uniqueId val="{00000003-19C4-4608-9C50-213556DEABD2}"/>
              </c:ext>
            </c:extLst>
          </c:dPt>
          <c:dLbls>
            <c:dLbl>
              <c:idx val="0"/>
              <c:tx>
                <c:rich>
                  <a:bodyPr/>
                  <a:lstStyle/>
                  <a:p>
                    <a:fld id="{3D954149-E862-4DA3-8CDE-5EC9EE9F09C8}"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F9B87101-DC05-468E-AFCC-44DF37B3A406}"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Verdana" panose="020B0604030504040204" pitchFamily="34" charset="0"/>
                    <a:ea typeface="Verdana" panose="020B0604030504040204" pitchFamily="34" charset="0"/>
                    <a:cs typeface="+mn-cs"/>
                  </a:defRPr>
                </a:pPr>
                <a:endParaRPr lang="fr-FR"/>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showDataLabelsRange val="1"/>
              </c:ext>
            </c:extLst>
          </c:dLbls>
          <c:cat>
            <c:strRef>
              <c:f>'final graphs'!$A$13:$A$14</c:f>
              <c:strCache>
                <c:ptCount val="2"/>
                <c:pt idx="0">
                  <c:v>Non-compliant</c:v>
                </c:pt>
                <c:pt idx="1">
                  <c:v>Compliant</c:v>
                </c:pt>
              </c:strCache>
            </c:strRef>
          </c:cat>
          <c:val>
            <c:numRef>
              <c:f>'final graphs'!$B$13:$B$14</c:f>
              <c:numCache>
                <c:formatCode>#,##0</c:formatCode>
                <c:ptCount val="2"/>
                <c:pt idx="0">
                  <c:v>0</c:v>
                </c:pt>
                <c:pt idx="1">
                  <c:v>0</c:v>
                </c:pt>
              </c:numCache>
            </c:numRef>
          </c:val>
          <c:extLst xmlns:c16r2="http://schemas.microsoft.com/office/drawing/2015/06/chart">
            <c:ext xmlns:c16="http://schemas.microsoft.com/office/drawing/2014/chart" uri="{C3380CC4-5D6E-409C-BE32-E72D297353CC}">
              <c16:uniqueId val="{00000004-19C4-4608-9C50-213556DEABD2}"/>
            </c:ext>
            <c:ext xmlns:c15="http://schemas.microsoft.com/office/drawing/2012/chart" uri="{02D57815-91ED-43cb-92C2-25804820EDAC}">
              <c15:datalabelsRange>
                <c15:f>'final graphs'!$G$13:$G$14</c15:f>
                <c15:dlblRangeCache>
                  <c:ptCount val="2"/>
                  <c:pt idx="0">
                    <c:v>#DIV/0!</c:v>
                  </c:pt>
                  <c:pt idx="1">
                    <c:v>#DIV/0!</c:v>
                  </c:pt>
                </c15:dlblRangeCache>
              </c15:datalabelsRange>
            </c:ext>
          </c:extLst>
        </c:ser>
        <c:dLbls>
          <c:showLegendKey val="0"/>
          <c:showVal val="0"/>
          <c:showCatName val="0"/>
          <c:showSerName val="0"/>
          <c:showPercent val="0"/>
          <c:showBubbleSize val="0"/>
          <c:showLeaderLines val="1"/>
        </c:dLbls>
        <c:firstSliceAng val="0"/>
        <c:holeSize val="64"/>
      </c:doughnutChart>
      <c:spPr>
        <a:noFill/>
        <a:ln>
          <a:noFill/>
        </a:ln>
        <a:effectLst/>
      </c:spPr>
    </c:plotArea>
    <c:legend>
      <c:legendPos val="b"/>
      <c:layout>
        <c:manualLayout>
          <c:xMode val="edge"/>
          <c:yMode val="edge"/>
          <c:x val="0.63308871795073374"/>
          <c:y val="0.35582052653980578"/>
          <c:w val="0.34501763882511416"/>
          <c:h val="0.4045042697554430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Verdana" panose="020B0604030504040204" pitchFamily="34" charset="0"/>
          <a:ea typeface="Verdana" panose="020B0604030504040204" pitchFamily="34" charset="0"/>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3923688994671"/>
          <c:y val="4.7351581267203229E-2"/>
          <c:w val="0.65517316656607549"/>
          <c:h val="0.75027761254200365"/>
        </c:manualLayout>
      </c:layout>
      <c:barChart>
        <c:barDir val="col"/>
        <c:grouping val="stacked"/>
        <c:varyColors val="1"/>
        <c:ser>
          <c:idx val="0"/>
          <c:order val="0"/>
          <c:tx>
            <c:strRef>
              <c:f>'final graphs'!$J$42</c:f>
              <c:strCache>
                <c:ptCount val="1"/>
                <c:pt idx="0">
                  <c:v>Compliant</c:v>
                </c:pt>
              </c:strCache>
            </c:strRef>
          </c:tx>
          <c:spPr>
            <a:solidFill>
              <a:srgbClr val="558ED5"/>
            </a:solidFill>
          </c:spPr>
          <c:invertIfNegative val="0"/>
          <c:dLbls>
            <c:dLbl>
              <c:idx val="0"/>
              <c:tx>
                <c:rich>
                  <a:bodyPr/>
                  <a:lstStyle/>
                  <a:p>
                    <a:fld id="{3FC13F79-F3D1-4464-AE17-2148F35D89E4}"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F95-466D-80FD-CA5C5F291A15}"/>
                </c:ext>
                <c:ext xmlns:c15="http://schemas.microsoft.com/office/drawing/2012/chart" uri="{CE6537A1-D6FC-4f65-9D91-7224C49458BB}">
                  <c15:dlblFieldTable/>
                  <c15:showDataLabelsRange val="1"/>
                </c:ext>
              </c:extLst>
            </c:dLbl>
            <c:dLbl>
              <c:idx val="1"/>
              <c:tx>
                <c:rich>
                  <a:bodyPr/>
                  <a:lstStyle/>
                  <a:p>
                    <a:fld id="{65BBFBD8-F8B4-440F-822A-6701331D8C11}"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4B6B7D7A-1318-433A-8739-6AA8AB97E02A}"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graphs'!$I$43:$I$45</c:f>
              <c:strCache>
                <c:ptCount val="3"/>
                <c:pt idx="0">
                  <c:v>Article 3 
(collection)</c:v>
                </c:pt>
                <c:pt idx="1">
                  <c:v>Article 4 
(secondary treatment)</c:v>
                </c:pt>
                <c:pt idx="2">
                  <c:v>Article 5 
(more stringent 
treatment)</c:v>
                </c:pt>
              </c:strCache>
            </c:strRef>
          </c:cat>
          <c:val>
            <c:numRef>
              <c:f>'final graphs'!$J$43:$J$45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F95-466D-80FD-CA5C5F291A15}"/>
            </c:ext>
            <c:ext xmlns:c15="http://schemas.microsoft.com/office/drawing/2012/chart" uri="{02D57815-91ED-43cb-92C2-25804820EDAC}">
              <c15:datalabelsRange>
                <c15:f>'final graphs'!$Q$43:$Q$45</c15:f>
                <c15:dlblRangeCache>
                  <c:ptCount val="3"/>
                  <c:pt idx="0">
                    <c:v>#DIV/0!</c:v>
                  </c:pt>
                  <c:pt idx="1">
                    <c:v>#DIV/0!</c:v>
                  </c:pt>
                  <c:pt idx="2">
                    <c:v>#DIV/0!</c:v>
                  </c:pt>
                </c15:dlblRangeCache>
              </c15:datalabelsRange>
            </c:ext>
          </c:extLst>
        </c:ser>
        <c:ser>
          <c:idx val="1"/>
          <c:order val="1"/>
          <c:tx>
            <c:strRef>
              <c:f>'final graphs'!$K$42</c:f>
              <c:strCache>
                <c:ptCount val="1"/>
                <c:pt idx="0">
                  <c:v>Non-compliant</c:v>
                </c:pt>
              </c:strCache>
            </c:strRef>
          </c:tx>
          <c:spPr>
            <a:solidFill>
              <a:srgbClr val="FF0000"/>
            </a:solidFill>
          </c:spPr>
          <c:invertIfNegative val="0"/>
          <c:cat>
            <c:strRef>
              <c:f>'final graphs'!$I$43:$I$45</c:f>
              <c:strCache>
                <c:ptCount val="3"/>
                <c:pt idx="0">
                  <c:v>Article 3 
(collection)</c:v>
                </c:pt>
                <c:pt idx="1">
                  <c:v>Article 4 
(secondary treatment)</c:v>
                </c:pt>
                <c:pt idx="2">
                  <c:v>Article 5 
(more stringent 
treatment)</c:v>
                </c:pt>
              </c:strCache>
            </c:strRef>
          </c:cat>
          <c:val>
            <c:numRef>
              <c:f>'final graphs'!$K$43:$K$45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F95-466D-80FD-CA5C5F291A15}"/>
            </c:ext>
          </c:extLst>
        </c:ser>
        <c:ser>
          <c:idx val="2"/>
          <c:order val="2"/>
          <c:tx>
            <c:strRef>
              <c:f>'final graphs'!$L$42</c:f>
              <c:strCache>
                <c:ptCount val="1"/>
                <c:pt idx="0">
                  <c:v>Pending</c:v>
                </c:pt>
              </c:strCache>
            </c:strRef>
          </c:tx>
          <c:spPr>
            <a:solidFill>
              <a:schemeClr val="bg1">
                <a:lumMod val="50000"/>
              </a:schemeClr>
            </a:solidFill>
          </c:spPr>
          <c:invertIfNegative val="0"/>
          <c:cat>
            <c:strRef>
              <c:f>'final graphs'!$I$43:$I$45</c:f>
              <c:strCache>
                <c:ptCount val="3"/>
                <c:pt idx="0">
                  <c:v>Article 3 
(collection)</c:v>
                </c:pt>
                <c:pt idx="1">
                  <c:v>Article 4 
(secondary treatment)</c:v>
                </c:pt>
                <c:pt idx="2">
                  <c:v>Article 5 
(more stringent 
treatment)</c:v>
                </c:pt>
              </c:strCache>
            </c:strRef>
          </c:cat>
          <c:val>
            <c:numRef>
              <c:f>'final graphs'!$L$43:$L$45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CF95-466D-80FD-CA5C5F291A15}"/>
            </c:ext>
          </c:extLst>
        </c:ser>
        <c:dLbls>
          <c:showLegendKey val="0"/>
          <c:showVal val="0"/>
          <c:showCatName val="0"/>
          <c:showSerName val="0"/>
          <c:showPercent val="0"/>
          <c:showBubbleSize val="0"/>
        </c:dLbls>
        <c:gapWidth val="150"/>
        <c:overlap val="100"/>
        <c:axId val="1599309408"/>
        <c:axId val="1599317568"/>
      </c:barChart>
      <c:lineChart>
        <c:grouping val="stacked"/>
        <c:varyColors val="1"/>
        <c:ser>
          <c:idx val="3"/>
          <c:order val="3"/>
          <c:tx>
            <c:strRef>
              <c:f>'final graphs'!$M$42</c:f>
              <c:strCache>
                <c:ptCount val="1"/>
                <c:pt idx="0">
                  <c:v>Total waste water load</c:v>
                </c:pt>
              </c:strCache>
            </c:strRef>
          </c:tx>
          <c:spPr>
            <a:ln>
              <a:solidFill>
                <a:srgbClr val="F79646"/>
              </a:solidFill>
            </a:ln>
          </c:spPr>
          <c:marker>
            <c:symbol val="none"/>
          </c:marker>
          <c:cat>
            <c:strRef>
              <c:f>'final graphs'!$I$43:$I$45</c:f>
              <c:strCache>
                <c:ptCount val="3"/>
                <c:pt idx="0">
                  <c:v>Article 3 
(collection)</c:v>
                </c:pt>
                <c:pt idx="1">
                  <c:v>Article 4 
(secondary treatment)</c:v>
                </c:pt>
                <c:pt idx="2">
                  <c:v>Article 5 
(more stringent 
treatment)</c:v>
                </c:pt>
              </c:strCache>
            </c:strRef>
          </c:cat>
          <c:val>
            <c:numRef>
              <c:f>'final graphs'!$M$43:$M$45</c:f>
              <c:numCache>
                <c:formatCode>#\ ##0.0</c:formatCode>
                <c:ptCount val="3"/>
                <c:pt idx="0">
                  <c:v>0</c:v>
                </c:pt>
                <c:pt idx="1">
                  <c:v>0</c:v>
                </c:pt>
                <c:pt idx="2">
                  <c:v>0</c:v>
                </c:pt>
              </c:numCache>
            </c:numRef>
          </c:val>
          <c:smooth val="0"/>
          <c:extLst xmlns:c16r2="http://schemas.microsoft.com/office/drawing/2015/06/chart">
            <c:ext xmlns:c16="http://schemas.microsoft.com/office/drawing/2014/chart" uri="{C3380CC4-5D6E-409C-BE32-E72D297353CC}">
              <c16:uniqueId val="{00000009-CF95-466D-80FD-CA5C5F291A15}"/>
            </c:ext>
          </c:extLst>
        </c:ser>
        <c:dLbls>
          <c:showLegendKey val="0"/>
          <c:showVal val="0"/>
          <c:showCatName val="0"/>
          <c:showSerName val="0"/>
          <c:showPercent val="0"/>
          <c:showBubbleSize val="0"/>
        </c:dLbls>
        <c:marker val="1"/>
        <c:smooth val="0"/>
        <c:axId val="1599318656"/>
        <c:axId val="1599307776"/>
      </c:lineChart>
      <c:catAx>
        <c:axId val="1599309408"/>
        <c:scaling>
          <c:orientation val="minMax"/>
        </c:scaling>
        <c:delete val="0"/>
        <c:axPos val="b"/>
        <c:numFmt formatCode="General" sourceLinked="1"/>
        <c:majorTickMark val="out"/>
        <c:minorTickMark val="none"/>
        <c:tickLblPos val="nextTo"/>
        <c:txPr>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crossAx val="1599317568"/>
        <c:crosses val="autoZero"/>
        <c:auto val="1"/>
        <c:lblAlgn val="ctr"/>
        <c:lblOffset val="100"/>
        <c:noMultiLvlLbl val="0"/>
      </c:catAx>
      <c:valAx>
        <c:axId val="1599317568"/>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0413600723796371E-3"/>
              <c:y val="8.047393083056846E-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599309408"/>
        <c:crosses val="autoZero"/>
        <c:crossBetween val="between"/>
      </c:valAx>
      <c:valAx>
        <c:axId val="1599307776"/>
        <c:scaling>
          <c:orientation val="minMax"/>
        </c:scaling>
        <c:delete val="1"/>
        <c:axPos val="r"/>
        <c:numFmt formatCode="#\ ##0.0" sourceLinked="1"/>
        <c:majorTickMark val="out"/>
        <c:minorTickMark val="none"/>
        <c:tickLblPos val="nextTo"/>
        <c:crossAx val="1599318656"/>
        <c:crosses val="max"/>
        <c:crossBetween val="midCat"/>
      </c:valAx>
      <c:catAx>
        <c:axId val="1599318656"/>
        <c:scaling>
          <c:orientation val="minMax"/>
        </c:scaling>
        <c:delete val="0"/>
        <c:axPos val="t"/>
        <c:numFmt formatCode="General" sourceLinked="1"/>
        <c:majorTickMark val="out"/>
        <c:minorTickMark val="none"/>
        <c:tickLblPos val="nextTo"/>
        <c:spPr>
          <a:noFill/>
          <a:ln>
            <a:noFill/>
          </a:ln>
        </c:spPr>
        <c:txPr>
          <a:bodyPr/>
          <a:lstStyle/>
          <a:p>
            <a:pPr>
              <a:defRPr>
                <a:noFill/>
              </a:defRPr>
            </a:pPr>
            <a:endParaRPr lang="fr-FR"/>
          </a:p>
        </c:txPr>
        <c:crossAx val="1599307776"/>
        <c:crosses val="max"/>
        <c:auto val="1"/>
        <c:lblAlgn val="ctr"/>
        <c:lblOffset val="100"/>
        <c:noMultiLvlLbl val="0"/>
      </c:catAx>
    </c:plotArea>
    <c:legend>
      <c:legendPos val="r"/>
      <c:layout>
        <c:manualLayout>
          <c:xMode val="edge"/>
          <c:yMode val="edge"/>
          <c:x val="0.76810811620630171"/>
          <c:y val="0.17231221849393535"/>
          <c:w val="0.23189188379369829"/>
          <c:h val="0.69484403668448091"/>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r>
              <a:rPr lang="en-US" sz="1000" b="0" i="0" baseline="0">
                <a:solidFill>
                  <a:sysClr val="windowText" lastClr="000000"/>
                </a:solidFill>
                <a:effectLst/>
              </a:rPr>
              <a:t>Compliance by agglomerations' generated load [% of load in p.e. of agglomerations in 2018]</a:t>
            </a:r>
            <a:endParaRPr lang="fr-FR" sz="1000">
              <a:solidFill>
                <a:sysClr val="windowText" lastClr="000000"/>
              </a:solidFill>
              <a:effectLst/>
            </a:endParaRPr>
          </a:p>
        </c:rich>
      </c:tx>
      <c:layout>
        <c:manualLayout>
          <c:xMode val="edge"/>
          <c:yMode val="edge"/>
          <c:x val="9.2653009698232522E-2"/>
          <c:y val="6.90319484960278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autoTitleDeleted val="0"/>
    <c:plotArea>
      <c:layout>
        <c:manualLayout>
          <c:layoutTarget val="inner"/>
          <c:xMode val="edge"/>
          <c:yMode val="edge"/>
          <c:x val="0.22214850813322262"/>
          <c:y val="0.39325150054890678"/>
          <c:w val="0.37205535889133229"/>
          <c:h val="0.59275931701680928"/>
        </c:manualLayout>
      </c:layout>
      <c:doughnutChart>
        <c:varyColors val="1"/>
        <c:ser>
          <c:idx val="0"/>
          <c:order val="0"/>
          <c:spPr>
            <a:solidFill>
              <a:srgbClr val="558ED5"/>
            </a:solidFill>
          </c:spPr>
          <c:dPt>
            <c:idx val="0"/>
            <c:bubble3D val="0"/>
            <c:spPr>
              <a:solidFill>
                <a:srgbClr val="FF0000"/>
              </a:solidFill>
              <a:ln w="19050">
                <a:solidFill>
                  <a:schemeClr val="lt1"/>
                </a:solidFill>
              </a:ln>
              <a:effectLst/>
            </c:spPr>
            <c:extLst xmlns:c16r2="http://schemas.microsoft.com/office/drawing/2015/06/chart">
              <c:ext xmlns:c16="http://schemas.microsoft.com/office/drawing/2014/chart" uri="{C3380CC4-5D6E-409C-BE32-E72D297353CC}">
                <c16:uniqueId val="{00000001-1C4A-41FC-8952-C44DAA77C4A5}"/>
              </c:ext>
            </c:extLst>
          </c:dPt>
          <c:dPt>
            <c:idx val="1"/>
            <c:bubble3D val="0"/>
            <c:spPr>
              <a:solidFill>
                <a:srgbClr val="558ED5"/>
              </a:solidFill>
              <a:ln w="19050">
                <a:solidFill>
                  <a:schemeClr val="lt1"/>
                </a:solidFill>
              </a:ln>
              <a:effectLst/>
            </c:spPr>
            <c:extLst xmlns:c16r2="http://schemas.microsoft.com/office/drawing/2015/06/chart">
              <c:ext xmlns:c16="http://schemas.microsoft.com/office/drawing/2014/chart" uri="{C3380CC4-5D6E-409C-BE32-E72D297353CC}">
                <c16:uniqueId val="{00000003-1C4A-41FC-8952-C44DAA77C4A5}"/>
              </c:ext>
            </c:extLst>
          </c:dPt>
          <c:dLbls>
            <c:dLbl>
              <c:idx val="0"/>
              <c:tx>
                <c:rich>
                  <a:bodyPr/>
                  <a:lstStyle/>
                  <a:p>
                    <a:fld id="{CC7F834E-9DD9-4E73-8F9E-32EECF3C1BA8}"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3BFF8517-6B66-4191-AB41-57048A6E49E0}"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Verdana" panose="020B0604030504040204" pitchFamily="34" charset="0"/>
                    <a:ea typeface="Verdana" panose="020B0604030504040204" pitchFamily="34" charset="0"/>
                    <a:cs typeface="+mn-cs"/>
                  </a:defRPr>
                </a:pPr>
                <a:endParaRPr lang="fr-FR"/>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showDataLabelsRange val="1"/>
              </c:ext>
            </c:extLst>
          </c:dLbls>
          <c:cat>
            <c:strRef>
              <c:f>'final graphs'!$A$13:$A$14</c:f>
              <c:strCache>
                <c:ptCount val="2"/>
                <c:pt idx="0">
                  <c:v>Non-compliant</c:v>
                </c:pt>
                <c:pt idx="1">
                  <c:v>Compliant</c:v>
                </c:pt>
              </c:strCache>
            </c:strRef>
          </c:cat>
          <c:val>
            <c:numRef>
              <c:f>'final graphs'!$C$13:$C$14</c:f>
              <c:numCache>
                <c:formatCode>#,##0</c:formatCode>
                <c:ptCount val="2"/>
                <c:pt idx="0">
                  <c:v>0</c:v>
                </c:pt>
                <c:pt idx="1">
                  <c:v>0</c:v>
                </c:pt>
              </c:numCache>
            </c:numRef>
          </c:val>
          <c:extLst xmlns:c16r2="http://schemas.microsoft.com/office/drawing/2015/06/chart">
            <c:ext xmlns:c16="http://schemas.microsoft.com/office/drawing/2014/chart" uri="{C3380CC4-5D6E-409C-BE32-E72D297353CC}">
              <c16:uniqueId val="{00000004-1C4A-41FC-8952-C44DAA77C4A5}"/>
            </c:ext>
            <c:ext xmlns:c15="http://schemas.microsoft.com/office/drawing/2012/chart" uri="{02D57815-91ED-43cb-92C2-25804820EDAC}">
              <c15:datalabelsRange>
                <c15:f>'final graphs'!$F$13:$F$14</c15:f>
                <c15:dlblRangeCache>
                  <c:ptCount val="2"/>
                  <c:pt idx="0">
                    <c:v>#DIV/0!</c:v>
                  </c:pt>
                  <c:pt idx="1">
                    <c:v>#DIV/0!</c:v>
                  </c:pt>
                </c15:dlblRangeCache>
              </c15:datalabelsRange>
            </c:ext>
          </c:extLst>
        </c:ser>
        <c:dLbls>
          <c:showLegendKey val="0"/>
          <c:showVal val="0"/>
          <c:showCatName val="0"/>
          <c:showSerName val="0"/>
          <c:showPercent val="0"/>
          <c:showBubbleSize val="0"/>
          <c:showLeaderLines val="1"/>
        </c:dLbls>
        <c:firstSliceAng val="0"/>
        <c:holeSize val="64"/>
      </c:doughnutChart>
      <c:spPr>
        <a:noFill/>
        <a:ln>
          <a:noFill/>
        </a:ln>
        <a:effectLst/>
      </c:spPr>
    </c:plotArea>
    <c:legend>
      <c:legendPos val="b"/>
      <c:layout>
        <c:manualLayout>
          <c:xMode val="edge"/>
          <c:yMode val="edge"/>
          <c:x val="0.62476912430533371"/>
          <c:y val="0.37183324477549368"/>
          <c:w val="0.34501763882511416"/>
          <c:h val="0.34578359063854264"/>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Verdana" panose="020B0604030504040204" pitchFamily="34" charset="0"/>
          <a:ea typeface="Verdana" panose="020B0604030504040204" pitchFamily="34" charset="0"/>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563880</xdr:colOff>
          <xdr:row>4</xdr:row>
          <xdr:rowOff>76200</xdr:rowOff>
        </xdr:from>
        <xdr:to>
          <xdr:col>3</xdr:col>
          <xdr:colOff>99060</xdr:colOff>
          <xdr:row>7</xdr:row>
          <xdr:rowOff>53340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Import the data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783509</xdr:colOff>
      <xdr:row>59</xdr:row>
      <xdr:rowOff>96983</xdr:rowOff>
    </xdr:from>
    <xdr:to>
      <xdr:col>15</xdr:col>
      <xdr:colOff>475873</xdr:colOff>
      <xdr:row>73</xdr:row>
      <xdr:rowOff>129887</xdr:rowOff>
    </xdr:to>
    <xdr:graphicFrame macro="">
      <xdr:nvGraphicFramePr>
        <xdr:cNvPr id="2" name="Chart 7">
          <a:extLst>
            <a:ext uri="{FF2B5EF4-FFF2-40B4-BE49-F238E27FC236}">
              <a16:creationId xmlns:a16="http://schemas.microsoft.com/office/drawing/2014/main" xmlns="" id="{00000000-0008-0000-0E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47160</xdr:colOff>
      <xdr:row>59</xdr:row>
      <xdr:rowOff>116281</xdr:rowOff>
    </xdr:from>
    <xdr:to>
      <xdr:col>20</xdr:col>
      <xdr:colOff>847888</xdr:colOff>
      <xdr:row>73</xdr:row>
      <xdr:rowOff>129888</xdr:rowOff>
    </xdr:to>
    <xdr:graphicFrame macro="">
      <xdr:nvGraphicFramePr>
        <xdr:cNvPr id="3" name="Chart 7">
          <a:extLst>
            <a:ext uri="{FF2B5EF4-FFF2-40B4-BE49-F238E27FC236}">
              <a16:creationId xmlns:a16="http://schemas.microsoft.com/office/drawing/2014/main" xmlns="" id="{00000000-0008-0000-0E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1881136</xdr:colOff>
      <xdr:row>59</xdr:row>
      <xdr:rowOff>122406</xdr:rowOff>
    </xdr:from>
    <xdr:to>
      <xdr:col>25</xdr:col>
      <xdr:colOff>354299</xdr:colOff>
      <xdr:row>74</xdr:row>
      <xdr:rowOff>21649</xdr:rowOff>
    </xdr:to>
    <xdr:graphicFrame macro="">
      <xdr:nvGraphicFramePr>
        <xdr:cNvPr id="4" name="Chart 7">
          <a:extLst>
            <a:ext uri="{FF2B5EF4-FFF2-40B4-BE49-F238E27FC236}">
              <a16:creationId xmlns:a16="http://schemas.microsoft.com/office/drawing/2014/main" xmlns="" id="{00000000-0008-0000-0E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70987</xdr:colOff>
      <xdr:row>81</xdr:row>
      <xdr:rowOff>41800</xdr:rowOff>
    </xdr:from>
    <xdr:to>
      <xdr:col>15</xdr:col>
      <xdr:colOff>564316</xdr:colOff>
      <xdr:row>89</xdr:row>
      <xdr:rowOff>346363</xdr:rowOff>
    </xdr:to>
    <xdr:graphicFrame macro="">
      <xdr:nvGraphicFramePr>
        <xdr:cNvPr id="5" name="Graphique 4">
          <a:extLst>
            <a:ext uri="{FF2B5EF4-FFF2-40B4-BE49-F238E27FC236}">
              <a16:creationId xmlns:a16="http://schemas.microsoft.com/office/drawing/2014/main" xmlns="" id="{00000000-0008-0000-0E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101113</xdr:colOff>
      <xdr:row>80</xdr:row>
      <xdr:rowOff>78475</xdr:rowOff>
    </xdr:from>
    <xdr:to>
      <xdr:col>20</xdr:col>
      <xdr:colOff>901841</xdr:colOff>
      <xdr:row>89</xdr:row>
      <xdr:rowOff>368011</xdr:rowOff>
    </xdr:to>
    <xdr:graphicFrame macro="">
      <xdr:nvGraphicFramePr>
        <xdr:cNvPr id="6" name="Graphique 5">
          <a:extLst>
            <a:ext uri="{FF2B5EF4-FFF2-40B4-BE49-F238E27FC236}">
              <a16:creationId xmlns:a16="http://schemas.microsoft.com/office/drawing/2014/main" xmlns="" id="{00000000-0008-0000-0E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1917402</xdr:colOff>
      <xdr:row>81</xdr:row>
      <xdr:rowOff>34836</xdr:rowOff>
    </xdr:from>
    <xdr:to>
      <xdr:col>25</xdr:col>
      <xdr:colOff>390565</xdr:colOff>
      <xdr:row>89</xdr:row>
      <xdr:rowOff>368011</xdr:rowOff>
    </xdr:to>
    <xdr:graphicFrame macro="">
      <xdr:nvGraphicFramePr>
        <xdr:cNvPr id="7" name="Graphique 6">
          <a:extLst>
            <a:ext uri="{FF2B5EF4-FFF2-40B4-BE49-F238E27FC236}">
              <a16:creationId xmlns:a16="http://schemas.microsoft.com/office/drawing/2014/main" xmlns="" id="{00000000-0008-0000-0E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7255</xdr:colOff>
      <xdr:row>3</xdr:row>
      <xdr:rowOff>183077</xdr:rowOff>
    </xdr:from>
    <xdr:to>
      <xdr:col>13</xdr:col>
      <xdr:colOff>489328</xdr:colOff>
      <xdr:row>8</xdr:row>
      <xdr:rowOff>1760750</xdr:rowOff>
    </xdr:to>
    <xdr:graphicFrame macro="">
      <xdr:nvGraphicFramePr>
        <xdr:cNvPr id="8" name="Chart 1">
          <a:extLst>
            <a:ext uri="{FF2B5EF4-FFF2-40B4-BE49-F238E27FC236}">
              <a16:creationId xmlns:a16="http://schemas.microsoft.com/office/drawing/2014/main" xmlns="" id="{00000000-0008-0000-0E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7141</xdr:colOff>
      <xdr:row>3</xdr:row>
      <xdr:rowOff>178674</xdr:rowOff>
    </xdr:from>
    <xdr:to>
      <xdr:col>19</xdr:col>
      <xdr:colOff>697032</xdr:colOff>
      <xdr:row>8</xdr:row>
      <xdr:rowOff>1756347</xdr:rowOff>
    </xdr:to>
    <xdr:graphicFrame macro="">
      <xdr:nvGraphicFramePr>
        <xdr:cNvPr id="9" name="Chart 9">
          <a:extLst>
            <a:ext uri="{FF2B5EF4-FFF2-40B4-BE49-F238E27FC236}">
              <a16:creationId xmlns:a16="http://schemas.microsoft.com/office/drawing/2014/main" xmlns="" id="{00000000-0008-0000-0E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725632</xdr:colOff>
      <xdr:row>100</xdr:row>
      <xdr:rowOff>11084</xdr:rowOff>
    </xdr:from>
    <xdr:to>
      <xdr:col>10</xdr:col>
      <xdr:colOff>206954</xdr:colOff>
      <xdr:row>114</xdr:row>
      <xdr:rowOff>140478</xdr:rowOff>
    </xdr:to>
    <xdr:graphicFrame macro="">
      <xdr:nvGraphicFramePr>
        <xdr:cNvPr id="10" name="Chart 5">
          <a:extLst>
            <a:ext uri="{FF2B5EF4-FFF2-40B4-BE49-F238E27FC236}">
              <a16:creationId xmlns:a16="http://schemas.microsoft.com/office/drawing/2014/main" xmlns="" id="{00000000-0008-0000-0E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604253</xdr:colOff>
      <xdr:row>50</xdr:row>
      <xdr:rowOff>56782</xdr:rowOff>
    </xdr:from>
    <xdr:to>
      <xdr:col>16</xdr:col>
      <xdr:colOff>961634</xdr:colOff>
      <xdr:row>57</xdr:row>
      <xdr:rowOff>872455</xdr:rowOff>
    </xdr:to>
    <xdr:graphicFrame macro="">
      <xdr:nvGraphicFramePr>
        <xdr:cNvPr id="11" name="Chart 7">
          <a:extLst>
            <a:ext uri="{FF2B5EF4-FFF2-40B4-BE49-F238E27FC236}">
              <a16:creationId xmlns:a16="http://schemas.microsoft.com/office/drawing/2014/main" xmlns="" id="{00000000-0008-0000-0E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65440</xdr:colOff>
      <xdr:row>119</xdr:row>
      <xdr:rowOff>55186</xdr:rowOff>
    </xdr:from>
    <xdr:to>
      <xdr:col>13</xdr:col>
      <xdr:colOff>520670</xdr:colOff>
      <xdr:row>135</xdr:row>
      <xdr:rowOff>108858</xdr:rowOff>
    </xdr:to>
    <xdr:graphicFrame macro="">
      <xdr:nvGraphicFramePr>
        <xdr:cNvPr id="12" name="Chart 3">
          <a:extLst>
            <a:ext uri="{FF2B5EF4-FFF2-40B4-BE49-F238E27FC236}">
              <a16:creationId xmlns:a16="http://schemas.microsoft.com/office/drawing/2014/main" xmlns="" id="{00000000-0008-0000-0E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573287</xdr:colOff>
      <xdr:row>19</xdr:row>
      <xdr:rowOff>51204</xdr:rowOff>
    </xdr:from>
    <xdr:to>
      <xdr:col>16</xdr:col>
      <xdr:colOff>930668</xdr:colOff>
      <xdr:row>33</xdr:row>
      <xdr:rowOff>104877</xdr:rowOff>
    </xdr:to>
    <xdr:graphicFrame macro="">
      <xdr:nvGraphicFramePr>
        <xdr:cNvPr id="13" name="Chart 7">
          <a:extLst>
            <a:ext uri="{FF2B5EF4-FFF2-40B4-BE49-F238E27FC236}">
              <a16:creationId xmlns:a16="http://schemas.microsoft.com/office/drawing/2014/main" xmlns="" id="{00000000-0008-0000-0E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651494</xdr:colOff>
      <xdr:row>9</xdr:row>
      <xdr:rowOff>304919</xdr:rowOff>
    </xdr:from>
    <xdr:to>
      <xdr:col>15</xdr:col>
      <xdr:colOff>109242</xdr:colOff>
      <xdr:row>16</xdr:row>
      <xdr:rowOff>202611</xdr:rowOff>
    </xdr:to>
    <xdr:graphicFrame macro="">
      <xdr:nvGraphicFramePr>
        <xdr:cNvPr id="14" name="Graphique 13">
          <a:extLst>
            <a:ext uri="{FF2B5EF4-FFF2-40B4-BE49-F238E27FC236}">
              <a16:creationId xmlns:a16="http://schemas.microsoft.com/office/drawing/2014/main" xmlns="" id="{00000000-0008-0000-0E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133498</xdr:colOff>
      <xdr:row>38</xdr:row>
      <xdr:rowOff>149683</xdr:rowOff>
    </xdr:from>
    <xdr:to>
      <xdr:col>20</xdr:col>
      <xdr:colOff>2375098</xdr:colOff>
      <xdr:row>45</xdr:row>
      <xdr:rowOff>646701</xdr:rowOff>
    </xdr:to>
    <xdr:graphicFrame macro="">
      <xdr:nvGraphicFramePr>
        <xdr:cNvPr id="15" name="Chart 7">
          <a:extLst>
            <a:ext uri="{FF2B5EF4-FFF2-40B4-BE49-F238E27FC236}">
              <a16:creationId xmlns:a16="http://schemas.microsoft.com/office/drawing/2014/main" xmlns="" id="{00000000-0008-0000-0E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37917</xdr:colOff>
      <xdr:row>9</xdr:row>
      <xdr:rowOff>288287</xdr:rowOff>
    </xdr:from>
    <xdr:to>
      <xdr:col>11</xdr:col>
      <xdr:colOff>511048</xdr:colOff>
      <xdr:row>16</xdr:row>
      <xdr:rowOff>184058</xdr:rowOff>
    </xdr:to>
    <xdr:graphicFrame macro="">
      <xdr:nvGraphicFramePr>
        <xdr:cNvPr id="16" name="Graphique 15">
          <a:extLst>
            <a:ext uri="{FF2B5EF4-FFF2-40B4-BE49-F238E27FC236}">
              <a16:creationId xmlns:a16="http://schemas.microsoft.com/office/drawing/2014/main" xmlns="" id="{00000000-0008-0000-0E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tables/table1.xml><?xml version="1.0" encoding="utf-8"?>
<table xmlns="http://schemas.openxmlformats.org/spreadsheetml/2006/main" id="1" name="Tableau1" displayName="Tableau1" ref="A9:B49" totalsRowShown="0" headerRowDxfId="16" headerRowBorderDxfId="14" tableBorderDxfId="15" totalsRowBorderDxfId="13">
  <autoFilter ref="A9:B49"/>
  <sortState ref="A10:B48">
    <sortCondition ref="A48"/>
  </sortState>
  <tableColumns count="2">
    <tableColumn id="1" name="Acronym" dataDxfId="12"/>
    <tableColumn id="2" name="Label" dataDxfId="11"/>
  </tableColumns>
  <tableStyleInfo name="TableStyleMedium2" showFirstColumn="0" showLastColumn="0" showRowStripes="1" showColumnStripes="0"/>
</table>
</file>

<file path=xl/tables/table2.xml><?xml version="1.0" encoding="utf-8"?>
<table xmlns="http://schemas.openxmlformats.org/spreadsheetml/2006/main" id="2" name="Tableau2" displayName="Tableau2" ref="A53:B77" totalsRowShown="0" headerRowDxfId="10" headerRowBorderDxfId="8" tableBorderDxfId="9" totalsRowBorderDxfId="7">
  <autoFilter ref="A53:B77"/>
  <tableColumns count="2">
    <tableColumn id="1" name="Concept" dataDxfId="6"/>
    <tableColumn id="2" name="Definition"/>
  </tableColumns>
  <tableStyleInfo name="TableStyleMedium2" showFirstColumn="0" showLastColumn="0" showRowStripes="1" showColumnStripes="0"/>
</table>
</file>

<file path=xl/tables/table3.xml><?xml version="1.0" encoding="utf-8"?>
<table xmlns="http://schemas.openxmlformats.org/spreadsheetml/2006/main" id="3" name="Tableau3" displayName="Tableau3" ref="A81:B100" totalsRowShown="0" headerRowDxfId="5" headerRowBorderDxfId="3" tableBorderDxfId="4" totalsRowBorderDxfId="2">
  <autoFilter ref="A81:B100"/>
  <tableColumns count="2">
    <tableColumn id="1" name="Table name" dataDxfId="1"/>
    <tableColumn id="2" name="Description"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7"/>
  </sheetPr>
  <dimension ref="A2:N10"/>
  <sheetViews>
    <sheetView topLeftCell="A3" workbookViewId="0">
      <selection activeCell="A4" sqref="A4"/>
    </sheetView>
  </sheetViews>
  <sheetFormatPr baseColWidth="10" defaultRowHeight="14.4" x14ac:dyDescent="0.3"/>
  <cols>
    <col min="1" max="1" width="3.44140625" customWidth="1"/>
  </cols>
  <sheetData>
    <row r="2" spans="1:14" ht="21" x14ac:dyDescent="0.4">
      <c r="A2" s="149"/>
      <c r="B2" s="154" t="s">
        <v>125</v>
      </c>
      <c r="C2" s="155"/>
      <c r="D2" s="155"/>
      <c r="E2" s="155"/>
      <c r="F2" s="155"/>
      <c r="G2" s="155"/>
      <c r="H2" s="155"/>
      <c r="I2" s="155"/>
      <c r="J2" s="155"/>
      <c r="K2" s="155"/>
      <c r="L2" s="155"/>
      <c r="M2" s="155"/>
      <c r="N2" s="156"/>
    </row>
    <row r="3" spans="1:14" ht="21" x14ac:dyDescent="0.4">
      <c r="A3" s="149"/>
      <c r="B3" s="157" t="s">
        <v>126</v>
      </c>
      <c r="C3" s="158"/>
      <c r="D3" s="158"/>
      <c r="E3" s="158"/>
      <c r="F3" s="158"/>
      <c r="G3" s="158"/>
      <c r="H3" s="158"/>
      <c r="I3" s="158"/>
      <c r="J3" s="158"/>
      <c r="K3" s="158"/>
      <c r="L3" s="158"/>
      <c r="M3" s="158"/>
      <c r="N3" s="159"/>
    </row>
    <row r="4" spans="1:14" x14ac:dyDescent="0.3">
      <c r="B4" s="157" t="s">
        <v>128</v>
      </c>
      <c r="C4" s="158"/>
      <c r="D4" s="158"/>
      <c r="E4" s="158"/>
      <c r="F4" s="158"/>
      <c r="G4" s="158"/>
      <c r="H4" s="158"/>
      <c r="I4" s="158"/>
      <c r="J4" s="158"/>
      <c r="K4" s="158"/>
      <c r="L4" s="158"/>
      <c r="M4" s="158"/>
      <c r="N4" s="159"/>
    </row>
    <row r="5" spans="1:14" x14ac:dyDescent="0.3">
      <c r="B5" s="150"/>
      <c r="C5" s="151"/>
      <c r="D5" s="151"/>
      <c r="E5" s="151"/>
      <c r="F5" s="151"/>
      <c r="G5" s="151"/>
      <c r="H5" s="151"/>
      <c r="I5" s="151"/>
      <c r="J5" s="151"/>
      <c r="K5" s="151"/>
      <c r="L5" s="151"/>
      <c r="M5" s="151"/>
      <c r="N5" s="152"/>
    </row>
    <row r="6" spans="1:14" x14ac:dyDescent="0.3">
      <c r="B6" s="150"/>
      <c r="C6" s="151"/>
      <c r="D6" s="153"/>
      <c r="E6" s="151"/>
      <c r="F6" s="151"/>
      <c r="G6" s="151"/>
      <c r="H6" s="151"/>
      <c r="I6" s="151"/>
      <c r="J6" s="151"/>
      <c r="K6" s="151"/>
      <c r="L6" s="151"/>
      <c r="M6" s="151"/>
      <c r="N6" s="152"/>
    </row>
    <row r="7" spans="1:14" x14ac:dyDescent="0.3">
      <c r="B7" s="150"/>
      <c r="C7" s="151"/>
      <c r="D7" s="151"/>
      <c r="E7" s="151"/>
      <c r="F7" s="151"/>
      <c r="G7" s="151"/>
      <c r="H7" s="151"/>
      <c r="I7" s="151"/>
      <c r="J7" s="151"/>
      <c r="K7" s="151"/>
      <c r="L7" s="151"/>
      <c r="M7" s="151"/>
      <c r="N7" s="152"/>
    </row>
    <row r="8" spans="1:14" x14ac:dyDescent="0.3">
      <c r="B8" s="150"/>
      <c r="C8" s="151"/>
      <c r="D8" s="151"/>
      <c r="E8" s="151"/>
      <c r="F8" s="151"/>
      <c r="G8" s="151"/>
      <c r="H8" s="151"/>
      <c r="I8" s="151"/>
      <c r="J8" s="151"/>
      <c r="K8" s="151"/>
      <c r="L8" s="151"/>
      <c r="M8" s="151"/>
      <c r="N8" s="152"/>
    </row>
    <row r="9" spans="1:14" x14ac:dyDescent="0.3">
      <c r="B9" s="150"/>
      <c r="C9" s="151"/>
      <c r="D9" s="151"/>
      <c r="E9" s="151"/>
      <c r="F9" s="151"/>
      <c r="G9" s="151"/>
      <c r="H9" s="151"/>
      <c r="I9" s="151"/>
      <c r="J9" s="151"/>
      <c r="K9" s="151"/>
      <c r="L9" s="151"/>
      <c r="M9" s="151"/>
      <c r="N9" s="152"/>
    </row>
    <row r="10" spans="1:14" x14ac:dyDescent="0.3">
      <c r="B10" s="160" t="s">
        <v>127</v>
      </c>
      <c r="C10" s="161"/>
      <c r="D10" s="161"/>
      <c r="E10" s="161"/>
      <c r="F10" s="161"/>
      <c r="G10" s="161"/>
      <c r="H10" s="161"/>
      <c r="I10" s="161"/>
      <c r="J10" s="161"/>
      <c r="K10" s="161"/>
      <c r="L10" s="161"/>
      <c r="M10" s="161"/>
      <c r="N10" s="162"/>
    </row>
  </sheetData>
  <mergeCells count="4">
    <mergeCell ref="B2:N2"/>
    <mergeCell ref="B3:N3"/>
    <mergeCell ref="B4:N4"/>
    <mergeCell ref="B10:N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DataCopy">
                <anchor moveWithCells="1" sizeWithCells="1">
                  <from>
                    <xdr:col>1</xdr:col>
                    <xdr:colOff>563880</xdr:colOff>
                    <xdr:row>4</xdr:row>
                    <xdr:rowOff>76200</xdr:rowOff>
                  </from>
                  <to>
                    <xdr:col>3</xdr:col>
                    <xdr:colOff>99060</xdr:colOff>
                    <xdr:row>7</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9"/>
  </sheetPr>
  <dimension ref="A1:Y338"/>
  <sheetViews>
    <sheetView topLeftCell="A5" zoomScaleNormal="100" workbookViewId="0"/>
  </sheetViews>
  <sheetFormatPr baseColWidth="10" defaultColWidth="11.44140625" defaultRowHeight="12.6" x14ac:dyDescent="0.2"/>
  <cols>
    <col min="1" max="1" width="50.33203125" style="1" customWidth="1"/>
    <col min="2" max="7" width="15.5546875" style="1" customWidth="1"/>
    <col min="8" max="8" width="6.6640625" style="1" customWidth="1"/>
    <col min="9" max="9" width="13.44140625" style="1" customWidth="1"/>
    <col min="10" max="10" width="12" style="1" bestFit="1" customWidth="1"/>
    <col min="11" max="11" width="11.44140625" style="1"/>
    <col min="12" max="12" width="14.5546875" style="1" customWidth="1"/>
    <col min="13" max="13" width="11.44140625" style="1"/>
    <col min="14" max="15" width="12" style="1" bestFit="1" customWidth="1"/>
    <col min="16" max="16" width="13.109375" style="1" customWidth="1"/>
    <col min="17" max="17" width="21" style="1" customWidth="1"/>
    <col min="18" max="18" width="12.5546875" style="1" bestFit="1" customWidth="1"/>
    <col min="19" max="20" width="11.44140625" style="1"/>
    <col min="21" max="21" width="44.44140625" style="1" bestFit="1" customWidth="1"/>
    <col min="22" max="25" width="11.44140625" style="1"/>
    <col min="26" max="26" width="7.5546875" style="1" bestFit="1" customWidth="1"/>
    <col min="27" max="27" width="5" style="1" bestFit="1" customWidth="1"/>
    <col min="28" max="28" width="11.6640625" style="1" bestFit="1" customWidth="1"/>
    <col min="29" max="29" width="9.5546875" style="1" bestFit="1" customWidth="1"/>
    <col min="30" max="30" width="11.44140625" style="1" bestFit="1" customWidth="1"/>
    <col min="31" max="32" width="6.5546875" style="1" bestFit="1" customWidth="1"/>
    <col min="33" max="33" width="7" style="1" bestFit="1" customWidth="1"/>
    <col min="34" max="39" width="6.5546875" style="1" bestFit="1" customWidth="1"/>
    <col min="40" max="40" width="11.44140625" style="1"/>
    <col min="41" max="41" width="12.6640625" style="1" customWidth="1"/>
    <col min="42" max="42" width="11.44140625" style="1"/>
    <col min="43" max="43" width="13" style="1" customWidth="1"/>
    <col min="44" max="44" width="11.6640625" style="1" bestFit="1" customWidth="1"/>
    <col min="45" max="45" width="10.109375" style="1" bestFit="1" customWidth="1"/>
    <col min="46" max="46" width="5.88671875" style="1" bestFit="1" customWidth="1"/>
    <col min="47" max="47" width="5" style="1" bestFit="1" customWidth="1"/>
    <col min="48" max="48" width="6.5546875" style="1" bestFit="1" customWidth="1"/>
    <col min="49" max="49" width="9.44140625" style="1" bestFit="1" customWidth="1"/>
    <col min="50" max="16384" width="11.44140625" style="1"/>
  </cols>
  <sheetData>
    <row r="1" spans="1:16" x14ac:dyDescent="0.2">
      <c r="A1" s="1" t="str">
        <f>CONCATENATE(Summary_legal_compliance!$C$1," in ",LEFT(Summary_legal_compliance!$C$2,4))</f>
        <v xml:space="preserve"> in </v>
      </c>
    </row>
    <row r="2" spans="1:16" ht="24.6" x14ac:dyDescent="0.4">
      <c r="A2" s="13" t="s">
        <v>113</v>
      </c>
    </row>
    <row r="3" spans="1:16" x14ac:dyDescent="0.2">
      <c r="I3" s="12" t="s">
        <v>112</v>
      </c>
      <c r="P3" s="12" t="s">
        <v>111</v>
      </c>
    </row>
    <row r="4" spans="1:16" ht="37.799999999999997" x14ac:dyDescent="0.2">
      <c r="A4" s="74" t="s">
        <v>110</v>
      </c>
      <c r="B4" s="74" t="s">
        <v>109</v>
      </c>
      <c r="C4" s="106" t="s">
        <v>108</v>
      </c>
      <c r="D4" s="74" t="s">
        <v>107</v>
      </c>
      <c r="E4" s="74" t="s">
        <v>106</v>
      </c>
      <c r="F4" s="41" t="s">
        <v>105</v>
      </c>
      <c r="G4" s="41" t="s">
        <v>104</v>
      </c>
    </row>
    <row r="5" spans="1:16" ht="13.2" customHeight="1" x14ac:dyDescent="0.2">
      <c r="A5" s="104" t="s">
        <v>115</v>
      </c>
      <c r="B5" s="124">
        <f>Graphs!$P5/1000000</f>
        <v>0</v>
      </c>
      <c r="C5" s="107">
        <f>Graphs!$R5</f>
        <v>0</v>
      </c>
      <c r="D5" s="125">
        <f>Graphs!$P12</f>
        <v>0</v>
      </c>
      <c r="E5" s="126">
        <f>Graphs!$R12</f>
        <v>0</v>
      </c>
      <c r="F5" s="10" t="str">
        <f>IF(E5&lt;0.0005,"",E5)</f>
        <v/>
      </c>
      <c r="G5" s="10" t="str">
        <f>IF(C5&lt;0.0005,"",C5)</f>
        <v/>
      </c>
    </row>
    <row r="6" spans="1:16" ht="13.2" customHeight="1" x14ac:dyDescent="0.2">
      <c r="A6" s="104" t="s">
        <v>116</v>
      </c>
      <c r="B6" s="124">
        <f>Graphs!$P6/1000000</f>
        <v>0</v>
      </c>
      <c r="C6" s="107">
        <f>Graphs!$R6</f>
        <v>0</v>
      </c>
      <c r="D6" s="125">
        <f>Graphs!$P13</f>
        <v>0</v>
      </c>
      <c r="E6" s="126">
        <f>Graphs!$R13</f>
        <v>0</v>
      </c>
      <c r="F6" s="10" t="str">
        <f>IF(E6&lt;0.0005,"",E6)</f>
        <v/>
      </c>
      <c r="G6" s="10" t="str">
        <f>IF(C6&lt;0.0005,"",C6)</f>
        <v/>
      </c>
    </row>
    <row r="7" spans="1:16" ht="13.2" customHeight="1" x14ac:dyDescent="0.2">
      <c r="A7" s="104" t="s">
        <v>117</v>
      </c>
      <c r="B7" s="124">
        <f>Graphs!$P7/1000000</f>
        <v>0</v>
      </c>
      <c r="C7" s="107">
        <f>Graphs!$R7</f>
        <v>0</v>
      </c>
      <c r="D7" s="125">
        <f>Graphs!$P14</f>
        <v>0</v>
      </c>
      <c r="E7" s="126">
        <f>Graphs!$R14</f>
        <v>0</v>
      </c>
      <c r="F7" s="10" t="str">
        <f>IF(E7&lt;0.0005,"",E7)</f>
        <v/>
      </c>
      <c r="G7" s="10" t="str">
        <f>IF(C7&lt;0.0005,"",C7)</f>
        <v/>
      </c>
    </row>
    <row r="8" spans="1:16" ht="13.2" customHeight="1" x14ac:dyDescent="0.2">
      <c r="A8" s="104" t="s">
        <v>89</v>
      </c>
      <c r="B8" s="124">
        <f>SUM(B5:B7)</f>
        <v>0</v>
      </c>
      <c r="C8" s="107">
        <f>SUM(C5:C7)</f>
        <v>0</v>
      </c>
      <c r="D8" s="108">
        <f>SUM(D5:D7)</f>
        <v>0</v>
      </c>
      <c r="E8" s="107">
        <f>SUM(E5:E7)</f>
        <v>0</v>
      </c>
      <c r="F8" s="10" t="str">
        <f>IF(E8&lt;0.0005,"",E8)</f>
        <v/>
      </c>
      <c r="G8" s="10" t="str">
        <f>IF(C8&lt;0.0005,"",C8)</f>
        <v/>
      </c>
    </row>
    <row r="9" spans="1:16" ht="186" customHeight="1" x14ac:dyDescent="0.2"/>
    <row r="10" spans="1:16" ht="24.6" x14ac:dyDescent="0.4">
      <c r="A10" s="13" t="s">
        <v>103</v>
      </c>
      <c r="I10" s="12" t="s">
        <v>102</v>
      </c>
      <c r="M10" s="12" t="s">
        <v>101</v>
      </c>
    </row>
    <row r="12" spans="1:16" ht="37.799999999999997" x14ac:dyDescent="0.2">
      <c r="A12" s="74" t="str">
        <f>A1</f>
        <v xml:space="preserve"> in </v>
      </c>
      <c r="B12" s="74" t="s">
        <v>100</v>
      </c>
      <c r="C12" s="106" t="s">
        <v>9</v>
      </c>
      <c r="D12" s="105" t="s">
        <v>99</v>
      </c>
      <c r="E12" s="105" t="s">
        <v>99</v>
      </c>
      <c r="F12" s="41" t="s">
        <v>98</v>
      </c>
      <c r="G12" s="41" t="s">
        <v>97</v>
      </c>
    </row>
    <row r="13" spans="1:16" x14ac:dyDescent="0.2">
      <c r="A13" s="104" t="s">
        <v>85</v>
      </c>
      <c r="B13" s="103">
        <f>Graphs!$L$3</f>
        <v>0</v>
      </c>
      <c r="C13" s="103">
        <f>Graphs!$K$3</f>
        <v>0</v>
      </c>
      <c r="D13" s="102" t="e">
        <f>C13/SUM($C$13:$C$14)</f>
        <v>#DIV/0!</v>
      </c>
      <c r="E13" s="102" t="e">
        <f>B13/SUM($B$13:$B$14)</f>
        <v>#DIV/0!</v>
      </c>
      <c r="F13" s="99" t="e">
        <f>IF(D13&lt;0.0005,"",D13)</f>
        <v>#DIV/0!</v>
      </c>
      <c r="G13" s="99" t="e">
        <f>IF(E13&lt;0.0005,"",E13)</f>
        <v>#DIV/0!</v>
      </c>
    </row>
    <row r="14" spans="1:16" x14ac:dyDescent="0.2">
      <c r="A14" s="104" t="s">
        <v>86</v>
      </c>
      <c r="B14" s="103">
        <f>Graphs!$L$4</f>
        <v>0</v>
      </c>
      <c r="C14" s="103">
        <f>Graphs!$K$4</f>
        <v>0</v>
      </c>
      <c r="D14" s="102" t="e">
        <f>C14/SUM($C$13:$C$14)</f>
        <v>#DIV/0!</v>
      </c>
      <c r="E14" s="102" t="e">
        <f>B14/SUM($B$13:$B$14)</f>
        <v>#DIV/0!</v>
      </c>
      <c r="F14" s="99" t="e">
        <f>IF(D14&lt;0.0005,"",D14)</f>
        <v>#DIV/0!</v>
      </c>
      <c r="G14" s="99" t="e">
        <f>IF(E14&lt;0.0005,"",E14)</f>
        <v>#DIV/0!</v>
      </c>
    </row>
    <row r="15" spans="1:16" x14ac:dyDescent="0.2">
      <c r="A15" s="96" t="s">
        <v>89</v>
      </c>
      <c r="B15" s="101">
        <f>SUM(B13:B14)</f>
        <v>0</v>
      </c>
      <c r="C15" s="101">
        <f>SUM(C13:C14)</f>
        <v>0</v>
      </c>
      <c r="D15" s="100"/>
      <c r="E15" s="100"/>
      <c r="F15" s="99"/>
      <c r="G15" s="99"/>
    </row>
    <row r="16" spans="1:16" x14ac:dyDescent="0.2">
      <c r="A16" s="93" t="s">
        <v>118</v>
      </c>
      <c r="B16" s="127">
        <f>Graphs!$L$6+Graphs!$L$7+Graphs!$L$5</f>
        <v>0</v>
      </c>
      <c r="C16" s="127">
        <f>+Graphs!$K$6+Graphs!$K$7+Graphs!$K$5</f>
        <v>0</v>
      </c>
    </row>
    <row r="17" spans="1:13" ht="30" customHeight="1" x14ac:dyDescent="0.2"/>
    <row r="18" spans="1:13" ht="24.6" x14ac:dyDescent="0.4">
      <c r="A18" s="13" t="s">
        <v>96</v>
      </c>
      <c r="M18" s="12" t="s">
        <v>96</v>
      </c>
    </row>
    <row r="20" spans="1:13" ht="36" customHeight="1" x14ac:dyDescent="0.2">
      <c r="A20" s="74" t="s">
        <v>95</v>
      </c>
      <c r="B20" s="74" t="s">
        <v>94</v>
      </c>
      <c r="C20" s="74" t="s">
        <v>93</v>
      </c>
      <c r="D20" s="74" t="s">
        <v>92</v>
      </c>
      <c r="E20" s="74" t="s">
        <v>86</v>
      </c>
      <c r="F20" s="74" t="s">
        <v>85</v>
      </c>
      <c r="G20" s="74" t="s">
        <v>89</v>
      </c>
      <c r="H20" s="74" t="s">
        <v>72</v>
      </c>
      <c r="I20" s="41" t="s">
        <v>91</v>
      </c>
    </row>
    <row r="21" spans="1:13" ht="18.600000000000001" customHeight="1" x14ac:dyDescent="0.3">
      <c r="A21" s="98">
        <f>Graphs!$K$14</f>
        <v>0</v>
      </c>
      <c r="B21" s="98">
        <f>Graphs!$K$15+Graphs!$K$16+Graphs!$K$17</f>
        <v>0</v>
      </c>
      <c r="C21" s="97">
        <f>Graphs!$K$13</f>
        <v>0</v>
      </c>
      <c r="D21" s="96">
        <f>D23-4</f>
        <v>-4</v>
      </c>
      <c r="E21" s="95">
        <f>(A21+B21)/1000000</f>
        <v>0</v>
      </c>
      <c r="F21" s="95">
        <f>C21/1000000</f>
        <v>0</v>
      </c>
      <c r="G21" s="95">
        <f>SUM(E21:F21)</f>
        <v>0</v>
      </c>
      <c r="H21" s="94" t="e">
        <f>E21/G21</f>
        <v>#DIV/0!</v>
      </c>
      <c r="I21" s="10" t="e">
        <f>IF(H21&lt;0.0005,"",H21)</f>
        <v>#DIV/0!</v>
      </c>
    </row>
    <row r="22" spans="1:13" ht="18.600000000000001" customHeight="1" x14ac:dyDescent="0.3">
      <c r="A22" s="98">
        <f>Graphs!$K$9</f>
        <v>0</v>
      </c>
      <c r="B22" s="98">
        <f>Graphs!$K$10+Graphs!$K$11+Graphs!$K$12</f>
        <v>0</v>
      </c>
      <c r="C22" s="97">
        <f>Graphs!$K$8</f>
        <v>0</v>
      </c>
      <c r="D22" s="96">
        <f>D23-2</f>
        <v>-2</v>
      </c>
      <c r="E22" s="95">
        <f>(A22+B22)/1000000</f>
        <v>0</v>
      </c>
      <c r="F22" s="95">
        <f>C22/1000000</f>
        <v>0</v>
      </c>
      <c r="G22" s="95">
        <f>SUM(E22:F22)</f>
        <v>0</v>
      </c>
      <c r="H22" s="94" t="e">
        <f>E22/G22</f>
        <v>#DIV/0!</v>
      </c>
      <c r="I22" s="10" t="e">
        <f>IF(H22&lt;0.0005,"",H22)</f>
        <v>#DIV/0!</v>
      </c>
    </row>
    <row r="23" spans="1:13" ht="18.600000000000001" customHeight="1" x14ac:dyDescent="0.3">
      <c r="A23" s="98">
        <f>Graphs!$K$4</f>
        <v>0</v>
      </c>
      <c r="B23" s="98">
        <f>Graphs!$K$7</f>
        <v>0</v>
      </c>
      <c r="C23" s="97">
        <f>Graphs!$K$3</f>
        <v>0</v>
      </c>
      <c r="D23" s="109">
        <f>Graphs!$B$3</f>
        <v>0</v>
      </c>
      <c r="E23" s="95">
        <f>(A23+B23)/1000000</f>
        <v>0</v>
      </c>
      <c r="F23" s="95">
        <f>C23/1000000</f>
        <v>0</v>
      </c>
      <c r="G23" s="95">
        <f>SUM(E23:F23)</f>
        <v>0</v>
      </c>
      <c r="H23" s="94" t="e">
        <f>E23/G23</f>
        <v>#DIV/0!</v>
      </c>
      <c r="I23" s="10" t="e">
        <f>IF(H23&lt;0.0005,"",H23)</f>
        <v>#DIV/0!</v>
      </c>
    </row>
    <row r="25" spans="1:13" x14ac:dyDescent="0.2">
      <c r="A25" s="42"/>
    </row>
    <row r="38" spans="1:21" ht="24.6" x14ac:dyDescent="0.4">
      <c r="A38" s="13" t="s">
        <v>90</v>
      </c>
      <c r="Q38" s="12" t="s">
        <v>90</v>
      </c>
      <c r="R38" s="42"/>
      <c r="S38" s="42"/>
      <c r="T38" s="42"/>
      <c r="U38" s="42"/>
    </row>
    <row r="39" spans="1:21" ht="13.2" thickBot="1" x14ac:dyDescent="0.25"/>
    <row r="40" spans="1:21" x14ac:dyDescent="0.2">
      <c r="A40" s="168" t="str">
        <f>A1</f>
        <v xml:space="preserve"> in </v>
      </c>
      <c r="B40" s="171" t="s">
        <v>37</v>
      </c>
      <c r="C40" s="172"/>
      <c r="D40" s="173"/>
      <c r="E40" s="175" t="s">
        <v>36</v>
      </c>
      <c r="F40" s="172"/>
      <c r="G40" s="173"/>
    </row>
    <row r="41" spans="1:21" ht="27.75" customHeight="1" x14ac:dyDescent="0.2">
      <c r="A41" s="169"/>
      <c r="B41" s="78" t="s">
        <v>89</v>
      </c>
      <c r="C41" s="78" t="s">
        <v>88</v>
      </c>
      <c r="D41" s="77" t="s">
        <v>88</v>
      </c>
      <c r="E41" s="79" t="s">
        <v>89</v>
      </c>
      <c r="F41" s="78" t="s">
        <v>88</v>
      </c>
      <c r="G41" s="77" t="s">
        <v>87</v>
      </c>
    </row>
    <row r="42" spans="1:21" ht="51" thickBot="1" x14ac:dyDescent="0.25">
      <c r="A42" s="170"/>
      <c r="B42" s="78" t="s">
        <v>35</v>
      </c>
      <c r="C42" s="92" t="s">
        <v>35</v>
      </c>
      <c r="D42" s="91" t="s">
        <v>33</v>
      </c>
      <c r="E42" s="92" t="s">
        <v>76</v>
      </c>
      <c r="F42" s="92" t="s">
        <v>76</v>
      </c>
      <c r="G42" s="91" t="s">
        <v>33</v>
      </c>
      <c r="J42" s="74" t="s">
        <v>86</v>
      </c>
      <c r="K42" s="74" t="s">
        <v>85</v>
      </c>
      <c r="L42" s="74" t="s">
        <v>51</v>
      </c>
      <c r="M42" s="74" t="s">
        <v>73</v>
      </c>
      <c r="N42" s="74" t="s">
        <v>86</v>
      </c>
      <c r="O42" s="74" t="s">
        <v>85</v>
      </c>
      <c r="P42" s="74" t="s">
        <v>84</v>
      </c>
      <c r="Q42" s="41" t="s">
        <v>71</v>
      </c>
    </row>
    <row r="43" spans="1:21" ht="30.75" customHeight="1" x14ac:dyDescent="0.2">
      <c r="A43" s="69" t="s">
        <v>83</v>
      </c>
      <c r="B43" s="90">
        <f>Summary_legal_compliance!$C$16</f>
        <v>0</v>
      </c>
      <c r="C43" s="88">
        <f>Summary_legal_compliance!$C$15</f>
        <v>0</v>
      </c>
      <c r="D43" s="87">
        <f>Summary_legal_compliance!$D$15</f>
        <v>0</v>
      </c>
      <c r="E43" s="86">
        <f>Summary_legal_compliance!$E$16</f>
        <v>0</v>
      </c>
      <c r="F43" s="86">
        <f>Summary_legal_compliance!$E$15</f>
        <v>0</v>
      </c>
      <c r="G43" s="85">
        <f>Summary_legal_compliance!$F$15</f>
        <v>0</v>
      </c>
      <c r="I43" s="69" t="s">
        <v>82</v>
      </c>
      <c r="J43" s="59">
        <f>Graphs!$B$54/1000000</f>
        <v>0</v>
      </c>
      <c r="K43" s="59">
        <f>Graphs!$C$54/1000000</f>
        <v>0</v>
      </c>
      <c r="L43" s="59">
        <f>E85</f>
        <v>0</v>
      </c>
      <c r="M43" s="59">
        <f>$B$8</f>
        <v>0</v>
      </c>
      <c r="N43" s="48" t="e">
        <f>J43/(J43+K43)</f>
        <v>#DIV/0!</v>
      </c>
      <c r="O43" s="48" t="e">
        <f>K43/(J43+K43)</f>
        <v>#DIV/0!</v>
      </c>
      <c r="P43" s="57" t="e">
        <f>Graphs!$D$54/(Graphs!$D$54+Graphs!$B$54+Graphs!$C$54)</f>
        <v>#DIV/0!</v>
      </c>
      <c r="Q43" s="10" t="e">
        <f>IF(N43&lt;0.0005,"",N43)</f>
        <v>#DIV/0!</v>
      </c>
    </row>
    <row r="44" spans="1:21" ht="33.75" customHeight="1" x14ac:dyDescent="0.2">
      <c r="A44" s="69" t="s">
        <v>81</v>
      </c>
      <c r="B44" s="89">
        <f>Summary_legal_compliance!$C$22</f>
        <v>0</v>
      </c>
      <c r="C44" s="88">
        <f>Summary_legal_compliance!$C$21</f>
        <v>0</v>
      </c>
      <c r="D44" s="87">
        <f>Summary_legal_compliance!$D$21</f>
        <v>0</v>
      </c>
      <c r="E44" s="86">
        <f>Summary_legal_compliance!$E$22</f>
        <v>0</v>
      </c>
      <c r="F44" s="86">
        <f>Summary_legal_compliance!$E$21</f>
        <v>0</v>
      </c>
      <c r="G44" s="85">
        <f>Summary_legal_compliance!$F$21</f>
        <v>0</v>
      </c>
      <c r="I44" s="69" t="s">
        <v>80</v>
      </c>
      <c r="J44" s="59">
        <f>Graphs!$B$57/1000000</f>
        <v>0</v>
      </c>
      <c r="K44" s="59">
        <f>Graphs!$C$57/1000000</f>
        <v>0</v>
      </c>
      <c r="L44" s="59">
        <f>E89</f>
        <v>0</v>
      </c>
      <c r="M44" s="59">
        <f>$B$8</f>
        <v>0</v>
      </c>
      <c r="N44" s="48" t="e">
        <f>J44/(J44+K44)</f>
        <v>#DIV/0!</v>
      </c>
      <c r="O44" s="48" t="e">
        <f>K44/(J44+K44)</f>
        <v>#DIV/0!</v>
      </c>
      <c r="P44" s="57" t="e">
        <f>Graphs!$D$57/(Graphs!$B$57+Graphs!$C$57+Graphs!$D$57)</f>
        <v>#DIV/0!</v>
      </c>
      <c r="Q44" s="10" t="e">
        <f>IF(N44&lt;0.0005,"",N44)</f>
        <v>#DIV/0!</v>
      </c>
    </row>
    <row r="45" spans="1:21" ht="46.5" customHeight="1" thickBot="1" x14ac:dyDescent="0.25">
      <c r="A45" s="65" t="s">
        <v>79</v>
      </c>
      <c r="B45" s="84">
        <f>Summary_legal_compliance!$C$32</f>
        <v>0</v>
      </c>
      <c r="C45" s="82">
        <f>Summary_legal_compliance!$C$31</f>
        <v>0</v>
      </c>
      <c r="D45" s="83">
        <f>Summary_legal_compliance!$D$31</f>
        <v>0</v>
      </c>
      <c r="E45" s="82">
        <f>Summary_legal_compliance!$E$32</f>
        <v>0</v>
      </c>
      <c r="F45" s="82">
        <f>Summary_legal_compliance!$E$31</f>
        <v>0</v>
      </c>
      <c r="G45" s="81">
        <f>Summary_legal_compliance!$F$31</f>
        <v>0</v>
      </c>
      <c r="I45" s="69" t="s">
        <v>78</v>
      </c>
      <c r="J45" s="59">
        <f>Graphs!$B$60/1000000</f>
        <v>0</v>
      </c>
      <c r="K45" s="59">
        <f>Graphs!$C$60/1000000</f>
        <v>0</v>
      </c>
      <c r="L45" s="59">
        <f>E93</f>
        <v>0</v>
      </c>
      <c r="M45" s="59">
        <f>$B$8</f>
        <v>0</v>
      </c>
      <c r="N45" s="48" t="e">
        <f>J45/(J45+K45)</f>
        <v>#DIV/0!</v>
      </c>
      <c r="O45" s="48" t="e">
        <f>K45/(J45+K45)</f>
        <v>#DIV/0!</v>
      </c>
      <c r="P45" s="48" t="e">
        <f>Graphs!$D$60/(Graphs!$B$60+Graphs!$C$60+Graphs!$D$60)</f>
        <v>#DIV/0!</v>
      </c>
      <c r="Q45" s="10" t="e">
        <f>IF(N45&lt;0.0005,"",N45)</f>
        <v>#DIV/0!</v>
      </c>
    </row>
    <row r="46" spans="1:21" ht="51" customHeight="1" x14ac:dyDescent="0.2">
      <c r="A46" s="80"/>
    </row>
    <row r="47" spans="1:21" x14ac:dyDescent="0.2">
      <c r="A47" s="80"/>
    </row>
    <row r="48" spans="1:21" ht="24.6" x14ac:dyDescent="0.4">
      <c r="A48" s="13" t="s">
        <v>77</v>
      </c>
    </row>
    <row r="49" spans="1:25" x14ac:dyDescent="0.2">
      <c r="A49" s="80"/>
      <c r="L49" s="12" t="s">
        <v>77</v>
      </c>
      <c r="M49" s="42"/>
      <c r="N49" s="42"/>
      <c r="O49" s="42"/>
      <c r="P49" s="42"/>
    </row>
    <row r="50" spans="1:25" ht="13.2" thickBot="1" x14ac:dyDescent="0.25"/>
    <row r="51" spans="1:25" x14ac:dyDescent="0.2">
      <c r="A51" s="168" t="str">
        <f>A1</f>
        <v xml:space="preserve"> in </v>
      </c>
      <c r="B51" s="175" t="s">
        <v>36</v>
      </c>
      <c r="C51" s="172"/>
      <c r="D51" s="173"/>
    </row>
    <row r="52" spans="1:25" ht="25.2" x14ac:dyDescent="0.2">
      <c r="A52" s="169"/>
      <c r="B52" s="78" t="s">
        <v>42</v>
      </c>
      <c r="C52" s="78" t="s">
        <v>74</v>
      </c>
      <c r="D52" s="78" t="s">
        <v>74</v>
      </c>
    </row>
    <row r="53" spans="1:25" ht="12.75" customHeight="1" thickBot="1" x14ac:dyDescent="0.25">
      <c r="A53" s="169"/>
      <c r="B53" s="79" t="s">
        <v>76</v>
      </c>
      <c r="C53" s="78" t="s">
        <v>76</v>
      </c>
      <c r="D53" s="77" t="s">
        <v>33</v>
      </c>
      <c r="F53" s="76" t="s">
        <v>75</v>
      </c>
      <c r="G53" s="75" t="s">
        <v>74</v>
      </c>
      <c r="H53" s="74" t="s">
        <v>51</v>
      </c>
      <c r="I53" s="74" t="s">
        <v>73</v>
      </c>
      <c r="J53" s="1" t="s">
        <v>72</v>
      </c>
      <c r="K53" s="41" t="s">
        <v>71</v>
      </c>
    </row>
    <row r="54" spans="1:25" ht="27.75" customHeight="1" x14ac:dyDescent="0.2">
      <c r="A54" s="73" t="s">
        <v>2</v>
      </c>
      <c r="B54" s="72">
        <f>Graphs!$C$119</f>
        <v>0</v>
      </c>
      <c r="C54" s="71">
        <f>Graphs!$C$120</f>
        <v>0</v>
      </c>
      <c r="D54" s="70">
        <f>Graphs!$B$120</f>
        <v>0</v>
      </c>
      <c r="E54" s="1" t="s">
        <v>2</v>
      </c>
      <c r="F54" s="61">
        <f>(B54-C54)/1000000</f>
        <v>0</v>
      </c>
      <c r="G54" s="61">
        <f>C54/1000000</f>
        <v>0</v>
      </c>
      <c r="H54" s="60">
        <f>L43</f>
        <v>0</v>
      </c>
      <c r="I54" s="59">
        <f>$B$8</f>
        <v>0</v>
      </c>
      <c r="J54" s="57">
        <f>D54/100</f>
        <v>0</v>
      </c>
      <c r="K54" s="10" t="str">
        <f>IF(J54&lt;0.0005,"",J54)</f>
        <v/>
      </c>
    </row>
    <row r="55" spans="1:25" ht="33" customHeight="1" x14ac:dyDescent="0.2">
      <c r="A55" s="69" t="s">
        <v>1</v>
      </c>
      <c r="B55" s="68">
        <f>Graphs!$C$121</f>
        <v>0</v>
      </c>
      <c r="C55" s="67">
        <f>Graphs!$C$123</f>
        <v>0</v>
      </c>
      <c r="D55" s="66">
        <f>Graphs!$B$123</f>
        <v>0</v>
      </c>
      <c r="E55" s="1" t="s">
        <v>1</v>
      </c>
      <c r="F55" s="61">
        <f>(B55-C55)/1000000</f>
        <v>0</v>
      </c>
      <c r="G55" s="61">
        <f>C55/1000000</f>
        <v>0</v>
      </c>
      <c r="H55" s="60">
        <f>L44</f>
        <v>0</v>
      </c>
      <c r="I55" s="59">
        <f>$B$8</f>
        <v>0</v>
      </c>
      <c r="J55" s="57">
        <f>D55/100</f>
        <v>0</v>
      </c>
      <c r="K55" s="10" t="str">
        <f>IF(J55&lt;0.0005,"",J55)</f>
        <v/>
      </c>
    </row>
    <row r="56" spans="1:25" ht="13.2" thickBot="1" x14ac:dyDescent="0.25">
      <c r="A56" s="65" t="s">
        <v>0</v>
      </c>
      <c r="B56" s="64">
        <f>Graphs!$C$124</f>
        <v>0</v>
      </c>
      <c r="C56" s="63">
        <f>Graphs!$C$126</f>
        <v>0</v>
      </c>
      <c r="D56" s="62">
        <f>Graphs!$B$126</f>
        <v>0</v>
      </c>
      <c r="E56" s="1" t="s">
        <v>0</v>
      </c>
      <c r="F56" s="61">
        <f>(B56-C56)/1000000</f>
        <v>0</v>
      </c>
      <c r="G56" s="61">
        <f>C56/1000000</f>
        <v>0</v>
      </c>
      <c r="H56" s="60">
        <f>L45</f>
        <v>0</v>
      </c>
      <c r="I56" s="59">
        <f>$B$8</f>
        <v>0</v>
      </c>
      <c r="J56" s="57">
        <f>D56/100</f>
        <v>0</v>
      </c>
      <c r="K56" s="10" t="str">
        <f>IF(J56&lt;0.0005,"",J56)</f>
        <v/>
      </c>
    </row>
    <row r="58" spans="1:25" ht="94.2" customHeight="1" x14ac:dyDescent="0.2"/>
    <row r="59" spans="1:25" ht="24.6" x14ac:dyDescent="0.4">
      <c r="A59" s="13" t="s">
        <v>70</v>
      </c>
      <c r="E59" s="42"/>
      <c r="F59" s="42"/>
      <c r="G59" s="42"/>
      <c r="H59" s="42"/>
      <c r="I59" s="42"/>
      <c r="J59" s="42"/>
      <c r="K59" s="12" t="s">
        <v>69</v>
      </c>
      <c r="O59" s="12"/>
      <c r="P59" s="12"/>
      <c r="Q59" s="12" t="s">
        <v>68</v>
      </c>
      <c r="R59" s="12"/>
      <c r="S59" s="12"/>
      <c r="U59" s="12"/>
      <c r="V59" s="12" t="s">
        <v>67</v>
      </c>
      <c r="W59" s="12"/>
      <c r="Y59" s="12"/>
    </row>
    <row r="61" spans="1:25" ht="13.2" thickBot="1" x14ac:dyDescent="0.25"/>
    <row r="62" spans="1:25" ht="13.2" thickBot="1" x14ac:dyDescent="0.25">
      <c r="A62" s="176" t="s">
        <v>66</v>
      </c>
      <c r="B62" s="177"/>
      <c r="C62" s="177"/>
      <c r="D62" s="177"/>
      <c r="E62" s="178"/>
    </row>
    <row r="63" spans="1:25" ht="15" customHeight="1" thickBot="1" x14ac:dyDescent="0.25">
      <c r="B63" s="42"/>
      <c r="C63" s="58"/>
      <c r="D63" s="58"/>
      <c r="E63" s="58"/>
    </row>
    <row r="64" spans="1:25" ht="38.4" thickBot="1" x14ac:dyDescent="0.25">
      <c r="C64" s="116" t="s">
        <v>65</v>
      </c>
      <c r="D64" s="117" t="s">
        <v>64</v>
      </c>
      <c r="E64" s="118" t="s">
        <v>51</v>
      </c>
      <c r="F64" s="1" t="s">
        <v>63</v>
      </c>
      <c r="I64" s="41" t="s">
        <v>62</v>
      </c>
    </row>
    <row r="65" spans="1:23" x14ac:dyDescent="0.2">
      <c r="A65" s="174" t="s">
        <v>48</v>
      </c>
      <c r="B65" s="55">
        <f>D21</f>
        <v>-4</v>
      </c>
      <c r="C65" s="54">
        <f>Graphs!$B$56/1000000</f>
        <v>0</v>
      </c>
      <c r="D65" s="54">
        <f>Graphs!$C$56/1000000</f>
        <v>0</v>
      </c>
      <c r="E65" s="147">
        <f>Graphs!$E$56/1000000</f>
        <v>0</v>
      </c>
      <c r="F65" s="48" t="str">
        <f>IF((C65+D65)&gt;0,C65/(C65+D65),"")</f>
        <v/>
      </c>
      <c r="I65" s="10" t="str">
        <f>IF(F65&lt;0.0005,"",F65)</f>
        <v/>
      </c>
    </row>
    <row r="66" spans="1:23" x14ac:dyDescent="0.2">
      <c r="A66" s="166"/>
      <c r="B66" s="53">
        <f>D22</f>
        <v>-2</v>
      </c>
      <c r="C66" s="52">
        <f>Graphs!$B$55/1000000</f>
        <v>0</v>
      </c>
      <c r="D66" s="52">
        <f>Graphs!$C$55/1000000</f>
        <v>0</v>
      </c>
      <c r="E66" s="148">
        <f>Graphs!$E$55/1000000</f>
        <v>0</v>
      </c>
      <c r="F66" s="48" t="str">
        <f>IF((C66+D66)&gt;0,C66/(C66+D66),"")</f>
        <v/>
      </c>
      <c r="I66" s="10" t="str">
        <f>IF(F66&lt;0.0005,"",F66)</f>
        <v/>
      </c>
    </row>
    <row r="67" spans="1:23" ht="13.2" thickBot="1" x14ac:dyDescent="0.25">
      <c r="A67" s="167"/>
      <c r="B67" s="51">
        <f>D23</f>
        <v>0</v>
      </c>
      <c r="C67" s="50">
        <f>Graphs!$B$54/1000000</f>
        <v>0</v>
      </c>
      <c r="D67" s="50">
        <f>Graphs!$C$54/1000000</f>
        <v>0</v>
      </c>
      <c r="E67" s="49">
        <f>Graphs!$E$54/1000000</f>
        <v>0</v>
      </c>
      <c r="F67" s="48" t="str">
        <f>IF((C67+D67)&gt;0,C67/(C67+D67),"")</f>
        <v/>
      </c>
      <c r="I67" s="10" t="str">
        <f>IF(F67&lt;0.0005,"",F67)</f>
        <v/>
      </c>
    </row>
    <row r="68" spans="1:23" ht="25.8" thickBot="1" x14ac:dyDescent="0.25">
      <c r="A68" s="40"/>
      <c r="B68" s="56"/>
      <c r="C68" s="116" t="s">
        <v>61</v>
      </c>
      <c r="D68" s="117" t="s">
        <v>60</v>
      </c>
      <c r="E68" s="118" t="s">
        <v>51</v>
      </c>
      <c r="I68" s="10" t="s">
        <v>41</v>
      </c>
    </row>
    <row r="69" spans="1:23" x14ac:dyDescent="0.2">
      <c r="A69" s="174" t="s">
        <v>45</v>
      </c>
      <c r="B69" s="55">
        <f>D21</f>
        <v>-4</v>
      </c>
      <c r="C69" s="54">
        <f>Graphs!$B$59/1000000</f>
        <v>0</v>
      </c>
      <c r="D69" s="54">
        <f>Graphs!$C$59/1000000</f>
        <v>0</v>
      </c>
      <c r="E69" s="147">
        <f>Graphs!$E$59/1000000</f>
        <v>0</v>
      </c>
      <c r="F69" s="48" t="str">
        <f>IF((C69+D69)&gt;0,C69/(C69+D69),"")</f>
        <v/>
      </c>
      <c r="I69" s="10" t="str">
        <f>IF(F69&lt;0.0005,"",F69)</f>
        <v/>
      </c>
    </row>
    <row r="70" spans="1:23" x14ac:dyDescent="0.2">
      <c r="A70" s="166"/>
      <c r="B70" s="53">
        <f>D22</f>
        <v>-2</v>
      </c>
      <c r="C70" s="52">
        <f>Graphs!$B$58/1000000</f>
        <v>0</v>
      </c>
      <c r="D70" s="52">
        <f>Graphs!$C$58/1000000</f>
        <v>0</v>
      </c>
      <c r="E70" s="148">
        <f>Graphs!$E$58/1000000</f>
        <v>0</v>
      </c>
      <c r="F70" s="48" t="str">
        <f>IF((C70+D70)&gt;0,C70/(C70+D70),"")</f>
        <v/>
      </c>
      <c r="I70" s="10" t="str">
        <f>IF(F70&lt;0.0005,"",F70)</f>
        <v/>
      </c>
    </row>
    <row r="71" spans="1:23" ht="13.2" thickBot="1" x14ac:dyDescent="0.25">
      <c r="A71" s="167"/>
      <c r="B71" s="51">
        <f>D23</f>
        <v>0</v>
      </c>
      <c r="C71" s="50">
        <f>Graphs!$B$57/1000000</f>
        <v>0</v>
      </c>
      <c r="D71" s="50">
        <f>Graphs!$C$57/1000000</f>
        <v>0</v>
      </c>
      <c r="E71" s="49">
        <f>Graphs!$E$57/1000000</f>
        <v>0</v>
      </c>
      <c r="F71" s="48" t="str">
        <f>IF((C71+D71)&gt;0,C71/(C71+D71),"")</f>
        <v/>
      </c>
      <c r="G71" s="57" t="e">
        <f>D71/(C71+D71+E71)</f>
        <v>#DIV/0!</v>
      </c>
      <c r="I71" s="10" t="str">
        <f>IF(F71&lt;0.0005,"",F71)</f>
        <v/>
      </c>
    </row>
    <row r="72" spans="1:23" ht="25.8" thickBot="1" x14ac:dyDescent="0.25">
      <c r="A72" s="40"/>
      <c r="B72" s="56"/>
      <c r="C72" s="116" t="s">
        <v>59</v>
      </c>
      <c r="D72" s="117" t="s">
        <v>58</v>
      </c>
      <c r="E72" s="118" t="s">
        <v>51</v>
      </c>
      <c r="I72" s="10" t="s">
        <v>41</v>
      </c>
    </row>
    <row r="73" spans="1:23" x14ac:dyDescent="0.2">
      <c r="A73" s="174" t="s">
        <v>40</v>
      </c>
      <c r="B73" s="55">
        <f>D21</f>
        <v>-4</v>
      </c>
      <c r="C73" s="54">
        <f>Graphs!$B$62/1000000</f>
        <v>0</v>
      </c>
      <c r="D73" s="54">
        <f>Graphs!$C$62/1000000</f>
        <v>0</v>
      </c>
      <c r="E73" s="147">
        <f>Graphs!$E$62/1000000</f>
        <v>0</v>
      </c>
      <c r="F73" s="48" t="str">
        <f>IF((C73+D73)&gt;0,C73/(C73+D73),"")</f>
        <v/>
      </c>
      <c r="I73" s="10" t="str">
        <f>IF(F73&lt;0.0005,"",F73)</f>
        <v/>
      </c>
    </row>
    <row r="74" spans="1:23" x14ac:dyDescent="0.2">
      <c r="A74" s="166"/>
      <c r="B74" s="53">
        <f>D22</f>
        <v>-2</v>
      </c>
      <c r="C74" s="52">
        <f>Graphs!$B$61/1000000</f>
        <v>0</v>
      </c>
      <c r="D74" s="52">
        <f>Graphs!$C$61/1000000</f>
        <v>0</v>
      </c>
      <c r="E74" s="148">
        <f>Graphs!$E$61/1000000</f>
        <v>0</v>
      </c>
      <c r="F74" s="48" t="str">
        <f>IF((C74+D74)&gt;0,C74/(C74+D74),"")</f>
        <v/>
      </c>
      <c r="I74" s="10" t="str">
        <f>IF(F74&lt;0.0005,"",F74)</f>
        <v/>
      </c>
    </row>
    <row r="75" spans="1:23" ht="13.2" thickBot="1" x14ac:dyDescent="0.25">
      <c r="A75" s="167"/>
      <c r="B75" s="51">
        <f>D23</f>
        <v>0</v>
      </c>
      <c r="C75" s="50">
        <f>Graphs!$B$60/1000000</f>
        <v>0</v>
      </c>
      <c r="D75" s="50">
        <f>Graphs!$C$60/1000000</f>
        <v>0</v>
      </c>
      <c r="E75" s="49">
        <f>Graphs!$E$60/1000000</f>
        <v>0</v>
      </c>
      <c r="F75" s="48" t="str">
        <f>IF((C75+D75)&gt;0,C75/(C75+D75),"")</f>
        <v/>
      </c>
      <c r="I75" s="10" t="str">
        <f>IF(F75&lt;0.0005,"",F75)</f>
        <v/>
      </c>
    </row>
    <row r="76" spans="1:23" x14ac:dyDescent="0.2">
      <c r="E76" s="43"/>
    </row>
    <row r="77" spans="1:23" ht="13.2" thickBot="1" x14ac:dyDescent="0.25">
      <c r="E77" s="43"/>
    </row>
    <row r="78" spans="1:23" ht="13.2" thickBot="1" x14ac:dyDescent="0.25">
      <c r="A78" s="47" t="s">
        <v>57</v>
      </c>
      <c r="B78" s="46"/>
      <c r="C78" s="46"/>
      <c r="D78" s="46"/>
      <c r="E78" s="45"/>
    </row>
    <row r="79" spans="1:23" x14ac:dyDescent="0.2">
      <c r="E79" s="43"/>
    </row>
    <row r="80" spans="1:23" x14ac:dyDescent="0.2">
      <c r="A80" s="44"/>
      <c r="E80" s="43"/>
      <c r="L80" s="12" t="s">
        <v>56</v>
      </c>
      <c r="O80" s="12"/>
      <c r="P80" s="12"/>
      <c r="Q80" s="12"/>
      <c r="R80" s="12" t="s">
        <v>55</v>
      </c>
      <c r="S80" s="12"/>
      <c r="U80" s="12"/>
      <c r="V80" s="12" t="s">
        <v>54</v>
      </c>
      <c r="W80" s="12"/>
    </row>
    <row r="81" spans="1:9" ht="13.2" thickBot="1" x14ac:dyDescent="0.25">
      <c r="E81" s="43"/>
    </row>
    <row r="82" spans="1:9" ht="43.8" thickBot="1" x14ac:dyDescent="0.35">
      <c r="C82" s="114" t="s">
        <v>53</v>
      </c>
      <c r="D82" s="115" t="s">
        <v>52</v>
      </c>
      <c r="E82" s="145" t="s">
        <v>51</v>
      </c>
      <c r="F82" s="42" t="s">
        <v>50</v>
      </c>
      <c r="G82" s="146" t="s">
        <v>42</v>
      </c>
      <c r="I82" s="41" t="s">
        <v>49</v>
      </c>
    </row>
    <row r="83" spans="1:9" ht="14.4" x14ac:dyDescent="0.2">
      <c r="A83" s="163" t="s">
        <v>48</v>
      </c>
      <c r="B83" s="128">
        <f>D21</f>
        <v>-4</v>
      </c>
      <c r="C83" s="132">
        <f>G83-D83</f>
        <v>0</v>
      </c>
      <c r="D83" s="138">
        <f>Graphs!$G$120/1000000</f>
        <v>0</v>
      </c>
      <c r="E83" s="135">
        <f t="shared" ref="E83:E93" si="0">E65</f>
        <v>0</v>
      </c>
      <c r="F83" s="36" t="str">
        <f>IF(D83&lt;&gt;0,D83/G83,"")</f>
        <v/>
      </c>
      <c r="G83" s="138">
        <f>Graphs!$G$119/1000000</f>
        <v>0</v>
      </c>
      <c r="I83" s="10" t="str">
        <f>IF(F83&lt;0.0005,"",F83)</f>
        <v/>
      </c>
    </row>
    <row r="84" spans="1:9" ht="14.4" x14ac:dyDescent="0.2">
      <c r="A84" s="164"/>
      <c r="B84" s="129">
        <f>D22</f>
        <v>-2</v>
      </c>
      <c r="C84" s="133">
        <f>G84-D84</f>
        <v>0</v>
      </c>
      <c r="D84" s="139">
        <f>Graphs!$E$120/1000000</f>
        <v>0</v>
      </c>
      <c r="E84" s="136">
        <f t="shared" si="0"/>
        <v>0</v>
      </c>
      <c r="F84" s="36" t="str">
        <f>IF(D84&lt;&gt;0,D84/G84,"")</f>
        <v/>
      </c>
      <c r="G84" s="139">
        <f>Graphs!$E$119/1000000</f>
        <v>0</v>
      </c>
      <c r="H84" s="1">
        <f>D84*1000000</f>
        <v>0</v>
      </c>
      <c r="I84" s="10" t="str">
        <f>IF(F84&lt;0.0005,"",F84)</f>
        <v/>
      </c>
    </row>
    <row r="85" spans="1:9" ht="15" thickBot="1" x14ac:dyDescent="0.25">
      <c r="A85" s="165"/>
      <c r="B85" s="130">
        <f>D23</f>
        <v>0</v>
      </c>
      <c r="C85" s="134">
        <f>G85-D85</f>
        <v>0</v>
      </c>
      <c r="D85" s="140">
        <f>Graphs!$C$120/1000000</f>
        <v>0</v>
      </c>
      <c r="E85" s="137">
        <f t="shared" si="0"/>
        <v>0</v>
      </c>
      <c r="F85" s="36" t="str">
        <f>IF(D85&lt;&gt;0,D85/G85,"")</f>
        <v/>
      </c>
      <c r="G85" s="140">
        <f>Graphs!$C$119/1000000</f>
        <v>0</v>
      </c>
      <c r="H85" s="1">
        <f>D85*1000000</f>
        <v>0</v>
      </c>
      <c r="I85" s="10" t="str">
        <f>IF(F85&lt;0.0005,"",F85)</f>
        <v/>
      </c>
    </row>
    <row r="86" spans="1:9" ht="58.2" thickBot="1" x14ac:dyDescent="0.35">
      <c r="A86" s="40"/>
      <c r="B86" s="119"/>
      <c r="C86" s="120" t="s">
        <v>47</v>
      </c>
      <c r="D86" s="121" t="s">
        <v>46</v>
      </c>
      <c r="E86" s="144" t="str">
        <f t="shared" si="0"/>
        <v>Pending</v>
      </c>
      <c r="F86" s="36"/>
      <c r="G86" s="146" t="s">
        <v>42</v>
      </c>
      <c r="I86" s="10" t="s">
        <v>41</v>
      </c>
    </row>
    <row r="87" spans="1:9" ht="14.4" x14ac:dyDescent="0.2">
      <c r="A87" s="166" t="s">
        <v>45</v>
      </c>
      <c r="B87" s="131">
        <f>D21</f>
        <v>-4</v>
      </c>
      <c r="C87" s="141">
        <f>G87-D87</f>
        <v>0</v>
      </c>
      <c r="D87" s="138">
        <f>Graphs!$G$123/1000000</f>
        <v>0</v>
      </c>
      <c r="E87" s="135">
        <f t="shared" si="0"/>
        <v>0</v>
      </c>
      <c r="F87" s="36" t="str">
        <f>IF(D87&lt;&gt;0,D87/G87,"")</f>
        <v/>
      </c>
      <c r="G87" s="138">
        <f>Graphs!$G$121/1000000</f>
        <v>0</v>
      </c>
      <c r="I87" s="10" t="str">
        <f>IF(F87&lt;0.0005,"",F87)</f>
        <v/>
      </c>
    </row>
    <row r="88" spans="1:9" ht="14.4" x14ac:dyDescent="0.2">
      <c r="A88" s="166"/>
      <c r="B88" s="38">
        <f>D22</f>
        <v>-2</v>
      </c>
      <c r="C88" s="142">
        <f>G88-D88</f>
        <v>0</v>
      </c>
      <c r="D88" s="139">
        <f>Graphs!$E$123/1000000</f>
        <v>0</v>
      </c>
      <c r="E88" s="136">
        <f t="shared" si="0"/>
        <v>0</v>
      </c>
      <c r="F88" s="36" t="str">
        <f>IF(D88&lt;&gt;0,D88/G88,"")</f>
        <v/>
      </c>
      <c r="G88" s="139">
        <f>Graphs!$E$121/1000000</f>
        <v>0</v>
      </c>
      <c r="H88" s="1">
        <f>D88*1000000</f>
        <v>0</v>
      </c>
      <c r="I88" s="10" t="str">
        <f>IF(F88&lt;0.0005,"",F88)</f>
        <v/>
      </c>
    </row>
    <row r="89" spans="1:9" ht="15" thickBot="1" x14ac:dyDescent="0.25">
      <c r="A89" s="167"/>
      <c r="B89" s="37">
        <f>D23</f>
        <v>0</v>
      </c>
      <c r="C89" s="143">
        <f>G89-D89</f>
        <v>0</v>
      </c>
      <c r="D89" s="140">
        <f>Graphs!$C$123/1000000</f>
        <v>0</v>
      </c>
      <c r="E89" s="137">
        <f t="shared" si="0"/>
        <v>0</v>
      </c>
      <c r="F89" s="36" t="str">
        <f>IF(D89&lt;&gt;0,D89/G89,"")</f>
        <v/>
      </c>
      <c r="G89" s="140">
        <f>Graphs!$C$121/1000000</f>
        <v>0</v>
      </c>
      <c r="H89" s="1">
        <f>D89*1000000</f>
        <v>0</v>
      </c>
      <c r="I89" s="10" t="str">
        <f>IF(F89&lt;0.0005,"",F89)</f>
        <v/>
      </c>
    </row>
    <row r="90" spans="1:9" ht="58.2" thickBot="1" x14ac:dyDescent="0.35">
      <c r="A90" s="40"/>
      <c r="B90" s="39"/>
      <c r="C90" s="120" t="s">
        <v>44</v>
      </c>
      <c r="D90" s="121" t="s">
        <v>43</v>
      </c>
      <c r="E90" s="144" t="str">
        <f t="shared" si="0"/>
        <v>Pending</v>
      </c>
      <c r="F90" s="36"/>
      <c r="G90" s="146" t="s">
        <v>42</v>
      </c>
      <c r="I90" s="10" t="s">
        <v>41</v>
      </c>
    </row>
    <row r="91" spans="1:9" ht="14.4" x14ac:dyDescent="0.2">
      <c r="A91" s="166" t="s">
        <v>40</v>
      </c>
      <c r="B91" s="38">
        <f>D21</f>
        <v>-4</v>
      </c>
      <c r="C91" s="141">
        <f>G91-D91</f>
        <v>0</v>
      </c>
      <c r="D91" s="138">
        <f>Graphs!$G$126/1000000</f>
        <v>0</v>
      </c>
      <c r="E91" s="135">
        <f t="shared" si="0"/>
        <v>0</v>
      </c>
      <c r="F91" s="36" t="str">
        <f>IF(D91&lt;&gt;0,D91/G91,"")</f>
        <v/>
      </c>
      <c r="G91" s="138">
        <f>Graphs!$G$124/1000000</f>
        <v>0</v>
      </c>
      <c r="I91" s="10" t="str">
        <f>IF(F91&lt;0.0005,"",F91)</f>
        <v/>
      </c>
    </row>
    <row r="92" spans="1:9" ht="14.4" x14ac:dyDescent="0.2">
      <c r="A92" s="166"/>
      <c r="B92" s="38">
        <f>D22</f>
        <v>-2</v>
      </c>
      <c r="C92" s="142">
        <f>G92-D92</f>
        <v>0</v>
      </c>
      <c r="D92" s="139">
        <f>Graphs!$E$126/1000000</f>
        <v>0</v>
      </c>
      <c r="E92" s="136">
        <f t="shared" si="0"/>
        <v>0</v>
      </c>
      <c r="F92" s="36" t="str">
        <f>IF(D92&lt;&gt;0,D92/G92,"")</f>
        <v/>
      </c>
      <c r="G92" s="139">
        <f>Graphs!$E$124/1000000</f>
        <v>0</v>
      </c>
      <c r="H92" s="1">
        <f>D92*1000000</f>
        <v>0</v>
      </c>
      <c r="I92" s="10" t="str">
        <f>IF(F92&lt;0.0005,"",F92)</f>
        <v/>
      </c>
    </row>
    <row r="93" spans="1:9" ht="15" thickBot="1" x14ac:dyDescent="0.25">
      <c r="A93" s="167"/>
      <c r="B93" s="37">
        <f>D23</f>
        <v>0</v>
      </c>
      <c r="C93" s="143">
        <f>G93-D93</f>
        <v>0</v>
      </c>
      <c r="D93" s="140">
        <f>Graphs!$C$126/1000000</f>
        <v>0</v>
      </c>
      <c r="E93" s="137">
        <f t="shared" si="0"/>
        <v>0</v>
      </c>
      <c r="F93" s="36" t="str">
        <f>IF(D93&lt;&gt;0,D93/G93,"")</f>
        <v/>
      </c>
      <c r="G93" s="140">
        <f>Graphs!$C$124/1000000</f>
        <v>0</v>
      </c>
      <c r="H93" s="1">
        <f>D93*1000000</f>
        <v>0</v>
      </c>
      <c r="I93" s="10" t="str">
        <f>IF(F93&lt;0.0005,"",F93)</f>
        <v/>
      </c>
    </row>
    <row r="99" spans="1:25" ht="24.6" x14ac:dyDescent="0.4">
      <c r="A99" s="13" t="s">
        <v>38</v>
      </c>
      <c r="K99" s="12"/>
      <c r="O99" s="12"/>
      <c r="P99" s="12"/>
      <c r="Q99" s="12"/>
      <c r="R99" s="12"/>
      <c r="S99" s="12"/>
      <c r="U99" s="12"/>
      <c r="V99" s="12"/>
      <c r="W99" s="12"/>
      <c r="Y99" s="12"/>
    </row>
    <row r="100" spans="1:25" x14ac:dyDescent="0.2">
      <c r="D100" s="35"/>
      <c r="E100" s="35"/>
      <c r="F100" s="35"/>
      <c r="G100" s="35"/>
      <c r="H100" s="35"/>
      <c r="I100" s="35"/>
      <c r="J100" s="35"/>
      <c r="K100" s="35"/>
      <c r="L100" s="35"/>
      <c r="M100" s="35"/>
      <c r="N100" s="35"/>
      <c r="O100" s="35"/>
      <c r="P100" s="35"/>
      <c r="Q100" s="35"/>
      <c r="R100" s="35"/>
      <c r="S100" s="35"/>
      <c r="T100" s="35"/>
    </row>
    <row r="101" spans="1:25" x14ac:dyDescent="0.2">
      <c r="D101" s="35"/>
      <c r="E101" s="35"/>
      <c r="F101" s="35"/>
      <c r="G101" s="35"/>
      <c r="H101" s="35"/>
      <c r="I101" s="35"/>
      <c r="J101" s="35"/>
      <c r="K101" s="35"/>
      <c r="L101" s="35"/>
      <c r="M101" s="35"/>
      <c r="N101" s="35"/>
      <c r="O101" s="35"/>
      <c r="P101" s="35"/>
      <c r="Q101" s="35"/>
      <c r="R101" s="35"/>
      <c r="S101" s="35"/>
      <c r="T101" s="35"/>
    </row>
    <row r="102" spans="1:25" ht="11.25" customHeight="1" x14ac:dyDescent="0.2">
      <c r="A102" s="112">
        <f>Graphs!$A$73</f>
        <v>0</v>
      </c>
      <c r="B102" s="122">
        <f>D22</f>
        <v>-2</v>
      </c>
      <c r="C102" s="122">
        <f>D23</f>
        <v>0</v>
      </c>
    </row>
    <row r="103" spans="1:25" x14ac:dyDescent="0.2">
      <c r="A103" s="123" t="s">
        <v>119</v>
      </c>
      <c r="B103" s="6">
        <f>Graphs!$H77/1000000</f>
        <v>0</v>
      </c>
      <c r="C103" s="6">
        <f>Graphs!$D77/1000000</f>
        <v>0</v>
      </c>
      <c r="E103" s="12" t="s">
        <v>38</v>
      </c>
    </row>
    <row r="104" spans="1:25" x14ac:dyDescent="0.2">
      <c r="A104" s="123" t="s">
        <v>120</v>
      </c>
      <c r="B104" s="6">
        <f>Graphs!$H78/1000000</f>
        <v>0</v>
      </c>
      <c r="C104" s="6">
        <f>Graphs!$D78/1000000</f>
        <v>0</v>
      </c>
    </row>
    <row r="105" spans="1:25" x14ac:dyDescent="0.2">
      <c r="A105" s="123" t="s">
        <v>121</v>
      </c>
      <c r="B105" s="6">
        <f>Graphs!$H79/1000000</f>
        <v>0</v>
      </c>
      <c r="C105" s="6">
        <f>Graphs!$D79/1000000</f>
        <v>0</v>
      </c>
    </row>
    <row r="106" spans="1:25" x14ac:dyDescent="0.2">
      <c r="A106" s="123" t="s">
        <v>122</v>
      </c>
      <c r="B106" s="6">
        <f>Graphs!$H80/1000000</f>
        <v>0</v>
      </c>
      <c r="C106" s="6">
        <f>Graphs!$D80/1000000</f>
        <v>0</v>
      </c>
    </row>
    <row r="107" spans="1:25" x14ac:dyDescent="0.2">
      <c r="A107" s="123" t="s">
        <v>123</v>
      </c>
      <c r="B107" s="6">
        <f>Graphs!$H81/1000000</f>
        <v>0</v>
      </c>
      <c r="C107" s="6">
        <f>Graphs!$D81/1000000</f>
        <v>0</v>
      </c>
    </row>
    <row r="108" spans="1:25" x14ac:dyDescent="0.2">
      <c r="A108" s="123" t="s">
        <v>124</v>
      </c>
      <c r="B108" s="6">
        <f>Graphs!$H82/1000000</f>
        <v>0</v>
      </c>
      <c r="C108" s="6">
        <f>Graphs!$D82/1000000</f>
        <v>0</v>
      </c>
    </row>
    <row r="117" spans="1:25" ht="24.6" x14ac:dyDescent="0.4">
      <c r="A117" s="13" t="s">
        <v>25</v>
      </c>
      <c r="K117" s="12"/>
      <c r="O117" s="12"/>
      <c r="P117" s="12"/>
      <c r="Q117" s="12"/>
      <c r="R117" s="12"/>
      <c r="S117" s="12"/>
      <c r="U117" s="12"/>
      <c r="V117" s="12"/>
      <c r="W117" s="12"/>
      <c r="Y117" s="12"/>
    </row>
    <row r="119" spans="1:25" ht="14.4" customHeight="1" x14ac:dyDescent="0.2">
      <c r="A119" s="6"/>
      <c r="B119" s="111">
        <f>D21</f>
        <v>-4</v>
      </c>
      <c r="C119" s="111">
        <f>D22</f>
        <v>-2</v>
      </c>
      <c r="D119" s="111">
        <f>D23</f>
        <v>0</v>
      </c>
      <c r="E119" s="111">
        <f>B119</f>
        <v>-4</v>
      </c>
      <c r="F119" s="111">
        <f>C119</f>
        <v>-2</v>
      </c>
      <c r="G119" s="111">
        <f>D119</f>
        <v>0</v>
      </c>
    </row>
    <row r="120" spans="1:25" ht="14.4" customHeight="1" x14ac:dyDescent="0.2">
      <c r="A120" s="6" t="s">
        <v>24</v>
      </c>
      <c r="B120" s="5">
        <f>Graphs!$F$25</f>
        <v>0</v>
      </c>
      <c r="C120" s="5">
        <f>Graphs!$D$25</f>
        <v>0</v>
      </c>
      <c r="D120" s="5">
        <f>Graphs!$B$25</f>
        <v>0</v>
      </c>
      <c r="E120" s="11" t="e">
        <f>B120/B126</f>
        <v>#DIV/0!</v>
      </c>
      <c r="F120" s="11" t="e">
        <f>C120/C126</f>
        <v>#DIV/0!</v>
      </c>
      <c r="G120" s="11" t="e">
        <f>D120/D126</f>
        <v>#DIV/0!</v>
      </c>
    </row>
    <row r="121" spans="1:25" ht="14.4" customHeight="1" x14ac:dyDescent="0.2">
      <c r="A121" s="6" t="s">
        <v>22</v>
      </c>
      <c r="B121" s="5">
        <f>Graphs!$F$26</f>
        <v>0</v>
      </c>
      <c r="C121" s="5">
        <f>Graphs!$D$26</f>
        <v>0</v>
      </c>
      <c r="D121" s="5">
        <f>Graphs!$B$26</f>
        <v>0</v>
      </c>
      <c r="E121" s="110" t="e">
        <f>IF(E120&lt;0.0005,"",E120)</f>
        <v>#DIV/0!</v>
      </c>
      <c r="F121" s="110" t="e">
        <f>IF(F120&lt;0.0005,"",F120)</f>
        <v>#DIV/0!</v>
      </c>
      <c r="G121" s="10" t="e">
        <f>IF(G120&lt;0.0005,"",G120)</f>
        <v>#DIV/0!</v>
      </c>
    </row>
    <row r="122" spans="1:25" ht="14.4" customHeight="1" x14ac:dyDescent="0.2">
      <c r="A122" s="6" t="s">
        <v>21</v>
      </c>
      <c r="B122" s="5">
        <f>Graphs!$F$27</f>
        <v>0</v>
      </c>
      <c r="C122" s="5">
        <f>Graphs!$D$27</f>
        <v>0</v>
      </c>
      <c r="D122" s="5">
        <f>Graphs!$B$27</f>
        <v>0</v>
      </c>
    </row>
    <row r="123" spans="1:25" ht="14.4" customHeight="1" x14ac:dyDescent="0.2">
      <c r="A123" s="6" t="s">
        <v>15</v>
      </c>
      <c r="B123" s="5">
        <f>Graphs!$F$28</f>
        <v>0</v>
      </c>
      <c r="C123" s="5">
        <f>Graphs!$D$28</f>
        <v>0</v>
      </c>
      <c r="D123" s="5">
        <f>Graphs!$B$28</f>
        <v>0</v>
      </c>
    </row>
    <row r="124" spans="1:25" ht="14.4" customHeight="1" x14ac:dyDescent="0.2">
      <c r="A124" s="6" t="s">
        <v>14</v>
      </c>
      <c r="B124" s="5">
        <f>Graphs!$F$29</f>
        <v>0</v>
      </c>
      <c r="C124" s="5">
        <f>Graphs!$D$29</f>
        <v>0</v>
      </c>
      <c r="D124" s="5">
        <f>Graphs!$B$29</f>
        <v>0</v>
      </c>
    </row>
    <row r="125" spans="1:25" ht="14.4" customHeight="1" x14ac:dyDescent="0.2">
      <c r="A125" s="6" t="s">
        <v>12</v>
      </c>
      <c r="B125" s="5">
        <f>Graphs!$F$30</f>
        <v>0</v>
      </c>
      <c r="C125" s="5">
        <f>Graphs!$D$30</f>
        <v>0</v>
      </c>
      <c r="D125" s="5">
        <f>Graphs!$B$30</f>
        <v>0</v>
      </c>
    </row>
    <row r="126" spans="1:25" ht="14.4" customHeight="1" x14ac:dyDescent="0.2">
      <c r="A126" s="112" t="s">
        <v>114</v>
      </c>
      <c r="B126" s="113">
        <f>SUM(B120:B125)</f>
        <v>0</v>
      </c>
      <c r="C126" s="113">
        <f>SUM(C120:C125)</f>
        <v>0</v>
      </c>
      <c r="D126" s="113">
        <f>SUM(D120:D125)</f>
        <v>0</v>
      </c>
    </row>
    <row r="127" spans="1:25" ht="14.4" customHeight="1" x14ac:dyDescent="0.2"/>
    <row r="128" spans="1:25" ht="14.4" customHeight="1" x14ac:dyDescent="0.2"/>
    <row r="129" spans="1:5" ht="14.4" customHeight="1" x14ac:dyDescent="0.2"/>
    <row r="130" spans="1:5" ht="14.4" customHeight="1" x14ac:dyDescent="0.2"/>
    <row r="131" spans="1:5" ht="14.4" customHeight="1" x14ac:dyDescent="0.2"/>
    <row r="141" spans="1:5" x14ac:dyDescent="0.2">
      <c r="A141" s="1" t="s">
        <v>39</v>
      </c>
    </row>
    <row r="142" spans="1:5" x14ac:dyDescent="0.2">
      <c r="A142" s="179" t="str">
        <f>A1</f>
        <v xml:space="preserve"> in </v>
      </c>
      <c r="B142" s="181" t="s">
        <v>37</v>
      </c>
      <c r="C142" s="182"/>
      <c r="D142" s="181" t="s">
        <v>36</v>
      </c>
      <c r="E142" s="182"/>
    </row>
    <row r="143" spans="1:5" x14ac:dyDescent="0.2">
      <c r="A143" s="180"/>
      <c r="B143" s="34" t="s">
        <v>35</v>
      </c>
      <c r="C143" s="33" t="s">
        <v>33</v>
      </c>
      <c r="D143" s="32" t="s">
        <v>34</v>
      </c>
      <c r="E143" s="31" t="s">
        <v>33</v>
      </c>
    </row>
    <row r="144" spans="1:5" ht="13.2" thickBot="1" x14ac:dyDescent="0.25">
      <c r="A144" s="30" t="s">
        <v>32</v>
      </c>
      <c r="B144" s="29"/>
      <c r="C144" s="29"/>
      <c r="D144" s="29"/>
      <c r="E144" s="29"/>
    </row>
    <row r="145" spans="1:14" x14ac:dyDescent="0.2">
      <c r="A145" s="28" t="s">
        <v>31</v>
      </c>
      <c r="B145" s="26">
        <f>Summary_installation_in_place!C11</f>
        <v>0</v>
      </c>
      <c r="C145" s="21">
        <f>Summary_installation_in_place!D11</f>
        <v>0</v>
      </c>
      <c r="D145" s="20">
        <f>Summary_installation_in_place!E11</f>
        <v>0</v>
      </c>
      <c r="E145" s="19">
        <f>Summary_installation_in_place!F11</f>
        <v>0</v>
      </c>
    </row>
    <row r="146" spans="1:14" ht="13.2" thickBot="1" x14ac:dyDescent="0.25">
      <c r="A146" s="25" t="s">
        <v>30</v>
      </c>
      <c r="B146" s="24">
        <f>Summary_installation_in_place!C12</f>
        <v>0</v>
      </c>
      <c r="C146" s="16">
        <f>Summary_installation_in_place!D12</f>
        <v>0</v>
      </c>
      <c r="D146" s="15">
        <f>Summary_installation_in_place!E12</f>
        <v>0</v>
      </c>
      <c r="E146" s="14">
        <f>Summary_installation_in_place!F12</f>
        <v>0</v>
      </c>
    </row>
    <row r="147" spans="1:14" x14ac:dyDescent="0.2">
      <c r="A147" s="23" t="s">
        <v>29</v>
      </c>
      <c r="B147" s="23"/>
      <c r="C147" s="23"/>
      <c r="D147" s="23"/>
      <c r="E147" s="23"/>
    </row>
    <row r="148" spans="1:14" x14ac:dyDescent="0.2">
      <c r="A148" s="27" t="s">
        <v>27</v>
      </c>
      <c r="B148" s="26">
        <f>Summary_installation_in_place!C15</f>
        <v>0</v>
      </c>
      <c r="C148" s="21">
        <f>Summary_installation_in_place!D15</f>
        <v>0</v>
      </c>
      <c r="D148" s="20">
        <f>Summary_installation_in_place!E15</f>
        <v>0</v>
      </c>
      <c r="E148" s="19">
        <f>Summary_installation_in_place!F15</f>
        <v>0</v>
      </c>
    </row>
    <row r="149" spans="1:14" ht="13.2" thickBot="1" x14ac:dyDescent="0.25">
      <c r="A149" s="25" t="s">
        <v>26</v>
      </c>
      <c r="B149" s="24">
        <f>Summary_installation_in_place!C16</f>
        <v>0</v>
      </c>
      <c r="C149" s="16">
        <f>Summary_installation_in_place!D16</f>
        <v>0</v>
      </c>
      <c r="D149" s="15">
        <f>Summary_installation_in_place!E16</f>
        <v>0</v>
      </c>
      <c r="E149" s="14">
        <f>Summary_installation_in_place!F16</f>
        <v>0</v>
      </c>
    </row>
    <row r="150" spans="1:14" x14ac:dyDescent="0.2">
      <c r="A150" s="23" t="s">
        <v>28</v>
      </c>
      <c r="B150" s="23"/>
      <c r="C150" s="23"/>
      <c r="D150" s="23"/>
      <c r="E150" s="23"/>
    </row>
    <row r="151" spans="1:14" x14ac:dyDescent="0.2">
      <c r="A151" s="22" t="s">
        <v>27</v>
      </c>
      <c r="B151" s="26">
        <f>Summary_installation_in_place!C19</f>
        <v>0</v>
      </c>
      <c r="C151" s="21">
        <f>Summary_installation_in_place!D19</f>
        <v>0</v>
      </c>
      <c r="D151" s="20">
        <f>Summary_installation_in_place!E19</f>
        <v>0</v>
      </c>
      <c r="E151" s="19">
        <f>Summary_installation_in_place!F19</f>
        <v>0</v>
      </c>
    </row>
    <row r="152" spans="1:14" ht="13.2" thickBot="1" x14ac:dyDescent="0.25">
      <c r="A152" s="18" t="s">
        <v>26</v>
      </c>
      <c r="B152" s="17">
        <f>Summary_installation_in_place!C20</f>
        <v>0</v>
      </c>
      <c r="C152" s="16">
        <f>Summary_installation_in_place!D20</f>
        <v>0</v>
      </c>
      <c r="D152" s="15">
        <f>Summary_installation_in_place!E20</f>
        <v>0</v>
      </c>
      <c r="E152" s="14">
        <f>Summary_installation_in_place!F20</f>
        <v>0</v>
      </c>
    </row>
    <row r="154" spans="1:14" x14ac:dyDescent="0.2">
      <c r="A154" s="1" t="s">
        <v>23</v>
      </c>
    </row>
    <row r="155" spans="1:14" x14ac:dyDescent="0.2">
      <c r="A155" s="183" t="str">
        <f>A1</f>
        <v xml:space="preserve"> in </v>
      </c>
      <c r="B155" s="183"/>
      <c r="C155" s="183"/>
      <c r="D155" s="184" t="s">
        <v>8</v>
      </c>
      <c r="E155" s="184"/>
      <c r="F155" s="184" t="s">
        <v>2</v>
      </c>
      <c r="G155" s="184"/>
      <c r="H155" s="184"/>
      <c r="I155" s="184" t="s">
        <v>1</v>
      </c>
      <c r="J155" s="184"/>
      <c r="K155" s="184"/>
      <c r="L155" s="184" t="s">
        <v>0</v>
      </c>
      <c r="M155" s="184"/>
      <c r="N155" s="184"/>
    </row>
    <row r="156" spans="1:14" ht="69" x14ac:dyDescent="0.2">
      <c r="A156" s="9" t="s">
        <v>20</v>
      </c>
      <c r="B156" s="9" t="s">
        <v>19</v>
      </c>
      <c r="C156" s="9" t="s">
        <v>9</v>
      </c>
      <c r="D156" s="9" t="s">
        <v>4</v>
      </c>
      <c r="E156" s="9" t="s">
        <v>18</v>
      </c>
      <c r="F156" s="9" t="s">
        <v>17</v>
      </c>
      <c r="G156" s="9" t="s">
        <v>16</v>
      </c>
      <c r="H156" s="9" t="s">
        <v>7</v>
      </c>
      <c r="I156" s="9" t="s">
        <v>17</v>
      </c>
      <c r="J156" s="9" t="s">
        <v>16</v>
      </c>
      <c r="K156" s="9" t="s">
        <v>7</v>
      </c>
      <c r="L156" s="9" t="s">
        <v>17</v>
      </c>
      <c r="M156" s="9" t="s">
        <v>16</v>
      </c>
      <c r="N156" s="9" t="s">
        <v>7</v>
      </c>
    </row>
    <row r="157" spans="1:14" x14ac:dyDescent="0.2">
      <c r="A157" s="8" t="str">
        <f>IF(LEN('Nuts2_level analyse'!A5)&gt;5,RIGHT('Nuts2_level analyse'!A5,LEN('Nuts2_level analyse'!A5)-5),"")</f>
        <v/>
      </c>
      <c r="B157" s="6" t="str">
        <f>LEFT('Nuts2_level analyse'!A5,4)</f>
        <v/>
      </c>
      <c r="C157" s="5" t="str">
        <f>IF(A157="","",'Nuts2_level analyse'!C5)</f>
        <v/>
      </c>
      <c r="D157" s="5" t="str">
        <f>IF(A157="","",'Nuts2_level analyse'!F5)</f>
        <v/>
      </c>
      <c r="E157" s="5" t="str">
        <f>IF(A157="","",'Nuts2_level analyse'!D5)</f>
        <v/>
      </c>
      <c r="F157" s="3" t="str">
        <f>IF(A157="","",'Nuts2_level analyse'!O5)</f>
        <v/>
      </c>
      <c r="G157" s="3" t="str">
        <f>IF(A157="","",IF('Nuts2_level analyse'!H5&gt;0,'Nuts2_level analyse'!L5/'Nuts2_level analyse'!H5*100,""))</f>
        <v/>
      </c>
      <c r="H157" s="3" t="str">
        <f>IF(A157="","",'Nuts2_level analyse'!AF5)</f>
        <v/>
      </c>
      <c r="I157" s="3" t="str">
        <f>IF(A157="","",'Nuts2_level analyse'!W5)</f>
        <v/>
      </c>
      <c r="J157" s="3" t="str">
        <f>IF(A157="","",IF('Nuts2_level analyse'!P5&gt;0,'Nuts2_level analyse'!T5/'Nuts2_level analyse'!P5*100,""))</f>
        <v/>
      </c>
      <c r="K157" s="7" t="str">
        <f>IF(A157="","",'Nuts2_level analyse'!AG5)</f>
        <v/>
      </c>
      <c r="L157" s="3" t="str">
        <f>IF(A157="","",'Nuts2_level analyse'!AE5)</f>
        <v/>
      </c>
      <c r="M157" s="3" t="str">
        <f>IF(A157="","",IF('Nuts2_level analyse'!X5&gt;0,'Nuts2_level analyse'!AB5/'Nuts2_level analyse'!X5*100,""))</f>
        <v/>
      </c>
      <c r="N157" s="7" t="str">
        <f>IF(A157="","",'Nuts2_level analyse'!AH5)</f>
        <v/>
      </c>
    </row>
    <row r="158" spans="1:14" x14ac:dyDescent="0.2">
      <c r="A158" s="8" t="str">
        <f>IF(LEN('Nuts2_level analyse'!A6)&gt;5,RIGHT('Nuts2_level analyse'!A6,LEN('Nuts2_level analyse'!A6)-5),"")</f>
        <v/>
      </c>
      <c r="B158" s="6" t="str">
        <f>LEFT('Nuts2_level analyse'!A6,4)</f>
        <v/>
      </c>
      <c r="C158" s="5" t="str">
        <f>IF(A158="","",'Nuts2_level analyse'!C6)</f>
        <v/>
      </c>
      <c r="D158" s="5" t="str">
        <f>IF(A158="","",'Nuts2_level analyse'!F6)</f>
        <v/>
      </c>
      <c r="E158" s="5" t="str">
        <f>IF(A158="","",'Nuts2_level analyse'!D6)</f>
        <v/>
      </c>
      <c r="F158" s="3" t="str">
        <f>IF(A158="","",'Nuts2_level analyse'!O6)</f>
        <v/>
      </c>
      <c r="G158" s="3" t="str">
        <f>IF(A158="","",IF('Nuts2_level analyse'!H6&gt;0,'Nuts2_level analyse'!L6/'Nuts2_level analyse'!H6*100,""))</f>
        <v/>
      </c>
      <c r="H158" s="3" t="str">
        <f>IF(A158="","",'Nuts2_level analyse'!AF6)</f>
        <v/>
      </c>
      <c r="I158" s="3" t="str">
        <f>IF(A158="","",'Nuts2_level analyse'!W6)</f>
        <v/>
      </c>
      <c r="J158" s="3" t="str">
        <f>IF(A158="","",IF('Nuts2_level analyse'!P6&gt;0,'Nuts2_level analyse'!T6/'Nuts2_level analyse'!P6*100,""))</f>
        <v/>
      </c>
      <c r="K158" s="7" t="str">
        <f>IF(A158="","",'Nuts2_level analyse'!AG6)</f>
        <v/>
      </c>
      <c r="L158" s="3" t="str">
        <f>IF(A158="","",'Nuts2_level analyse'!AE6)</f>
        <v/>
      </c>
      <c r="M158" s="3" t="str">
        <f>IF(A158="","",IF('Nuts2_level analyse'!X6&gt;0,'Nuts2_level analyse'!AB6/'Nuts2_level analyse'!X6*100,""))</f>
        <v/>
      </c>
      <c r="N158" s="7" t="str">
        <f>IF(A158="","",'Nuts2_level analyse'!AH6)</f>
        <v/>
      </c>
    </row>
    <row r="159" spans="1:14" x14ac:dyDescent="0.2">
      <c r="A159" s="8" t="str">
        <f>IF(LEN('Nuts2_level analyse'!A7)&gt;5,RIGHT('Nuts2_level analyse'!A7,LEN('Nuts2_level analyse'!A7)-5),"")</f>
        <v/>
      </c>
      <c r="B159" s="6" t="str">
        <f>LEFT('Nuts2_level analyse'!A7,4)</f>
        <v/>
      </c>
      <c r="C159" s="5" t="str">
        <f>IF(A159="","",'Nuts2_level analyse'!C7)</f>
        <v/>
      </c>
      <c r="D159" s="5" t="str">
        <f>IF(A159="","",'Nuts2_level analyse'!F7)</f>
        <v/>
      </c>
      <c r="E159" s="5" t="str">
        <f>IF(A159="","",'Nuts2_level analyse'!D7)</f>
        <v/>
      </c>
      <c r="F159" s="3" t="str">
        <f>IF(A159="","",'Nuts2_level analyse'!O7)</f>
        <v/>
      </c>
      <c r="G159" s="3" t="str">
        <f>IF(A159="","",IF('Nuts2_level analyse'!H7&gt;0,'Nuts2_level analyse'!L7/'Nuts2_level analyse'!H7*100,""))</f>
        <v/>
      </c>
      <c r="H159" s="3" t="str">
        <f>IF(A159="","",'Nuts2_level analyse'!AF7)</f>
        <v/>
      </c>
      <c r="I159" s="3" t="str">
        <f>IF(A159="","",'Nuts2_level analyse'!W7)</f>
        <v/>
      </c>
      <c r="J159" s="3" t="str">
        <f>IF(A159="","",IF('Nuts2_level analyse'!P7&gt;0,'Nuts2_level analyse'!T7/'Nuts2_level analyse'!P7*100,""))</f>
        <v/>
      </c>
      <c r="K159" s="7" t="str">
        <f>IF(A159="","",'Nuts2_level analyse'!AG7)</f>
        <v/>
      </c>
      <c r="L159" s="3" t="str">
        <f>IF(A159="","",'Nuts2_level analyse'!AE7)</f>
        <v/>
      </c>
      <c r="M159" s="3" t="str">
        <f>IF(A159="","",IF('Nuts2_level analyse'!X7&gt;0,'Nuts2_level analyse'!AB7/'Nuts2_level analyse'!X7*100,""))</f>
        <v/>
      </c>
      <c r="N159" s="7" t="str">
        <f>IF(A159="","",'Nuts2_level analyse'!AH7)</f>
        <v/>
      </c>
    </row>
    <row r="160" spans="1:14" x14ac:dyDescent="0.2">
      <c r="A160" s="8" t="str">
        <f>IF(LEN('Nuts2_level analyse'!A8)&gt;5,RIGHT('Nuts2_level analyse'!A8,LEN('Nuts2_level analyse'!A8)-5),"")</f>
        <v/>
      </c>
      <c r="B160" s="6" t="str">
        <f>LEFT('Nuts2_level analyse'!A8,4)</f>
        <v/>
      </c>
      <c r="C160" s="5" t="str">
        <f>IF(A160="","",'Nuts2_level analyse'!C8)</f>
        <v/>
      </c>
      <c r="D160" s="5" t="str">
        <f>IF(A160="","",'Nuts2_level analyse'!F8)</f>
        <v/>
      </c>
      <c r="E160" s="5" t="str">
        <f>IF(A160="","",'Nuts2_level analyse'!D8)</f>
        <v/>
      </c>
      <c r="F160" s="3" t="str">
        <f>IF(A160="","",'Nuts2_level analyse'!O8)</f>
        <v/>
      </c>
      <c r="G160" s="3" t="str">
        <f>IF(A160="","",IF('Nuts2_level analyse'!H8&gt;0,'Nuts2_level analyse'!L8/'Nuts2_level analyse'!H8*100,""))</f>
        <v/>
      </c>
      <c r="H160" s="3" t="str">
        <f>IF(A160="","",'Nuts2_level analyse'!AF8)</f>
        <v/>
      </c>
      <c r="I160" s="3" t="str">
        <f>IF(A160="","",'Nuts2_level analyse'!W8)</f>
        <v/>
      </c>
      <c r="J160" s="3" t="str">
        <f>IF(A160="","",IF('Nuts2_level analyse'!P8&gt;0,'Nuts2_level analyse'!T8/'Nuts2_level analyse'!P8*100,""))</f>
        <v/>
      </c>
      <c r="K160" s="7" t="str">
        <f>IF(A160="","",'Nuts2_level analyse'!AG8)</f>
        <v/>
      </c>
      <c r="L160" s="3" t="str">
        <f>IF(A160="","",'Nuts2_level analyse'!AE8)</f>
        <v/>
      </c>
      <c r="M160" s="3" t="str">
        <f>IF(A160="","",IF('Nuts2_level analyse'!X8&gt;0,'Nuts2_level analyse'!AB8/'Nuts2_level analyse'!X8*100,""))</f>
        <v/>
      </c>
      <c r="N160" s="7" t="str">
        <f>IF(A160="","",'Nuts2_level analyse'!AH8)</f>
        <v/>
      </c>
    </row>
    <row r="161" spans="1:14" x14ac:dyDescent="0.2">
      <c r="A161" s="8" t="str">
        <f>IF(LEN('Nuts2_level analyse'!A9)&gt;5,RIGHT('Nuts2_level analyse'!A9,LEN('Nuts2_level analyse'!A9)-5),"")</f>
        <v/>
      </c>
      <c r="B161" s="6" t="str">
        <f>LEFT('Nuts2_level analyse'!A9,4)</f>
        <v/>
      </c>
      <c r="C161" s="5" t="str">
        <f>IF(A161="","",'Nuts2_level analyse'!C9)</f>
        <v/>
      </c>
      <c r="D161" s="5" t="str">
        <f>IF(A161="","",'Nuts2_level analyse'!F9)</f>
        <v/>
      </c>
      <c r="E161" s="5" t="str">
        <f>IF(A161="","",'Nuts2_level analyse'!D9)</f>
        <v/>
      </c>
      <c r="F161" s="3" t="str">
        <f>IF(A161="","",'Nuts2_level analyse'!O9)</f>
        <v/>
      </c>
      <c r="G161" s="3" t="str">
        <f>IF(A161="","",IF('Nuts2_level analyse'!H9&gt;0,'Nuts2_level analyse'!L9/'Nuts2_level analyse'!H9*100,""))</f>
        <v/>
      </c>
      <c r="H161" s="3" t="str">
        <f>IF(A161="","",'Nuts2_level analyse'!AF9)</f>
        <v/>
      </c>
      <c r="I161" s="3" t="str">
        <f>IF(A161="","",'Nuts2_level analyse'!W9)</f>
        <v/>
      </c>
      <c r="J161" s="3" t="str">
        <f>IF(A161="","",IF('Nuts2_level analyse'!P9&gt;0,'Nuts2_level analyse'!T9/'Nuts2_level analyse'!P9*100,""))</f>
        <v/>
      </c>
      <c r="K161" s="7" t="str">
        <f>IF(A161="","",'Nuts2_level analyse'!AG9)</f>
        <v/>
      </c>
      <c r="L161" s="3" t="str">
        <f>IF(A161="","",'Nuts2_level analyse'!AE9)</f>
        <v/>
      </c>
      <c r="M161" s="3" t="str">
        <f>IF(A161="","",IF('Nuts2_level analyse'!X9&gt;0,'Nuts2_level analyse'!AB9/'Nuts2_level analyse'!X9*100,""))</f>
        <v/>
      </c>
      <c r="N161" s="7" t="str">
        <f>IF(A161="","",'Nuts2_level analyse'!AH9)</f>
        <v/>
      </c>
    </row>
    <row r="162" spans="1:14" x14ac:dyDescent="0.2">
      <c r="A162" s="8" t="str">
        <f>IF(LEN('Nuts2_level analyse'!A10)&gt;5,RIGHT('Nuts2_level analyse'!A10,LEN('Nuts2_level analyse'!A10)-5),"")</f>
        <v/>
      </c>
      <c r="B162" s="6" t="str">
        <f>LEFT('Nuts2_level analyse'!A10,4)</f>
        <v/>
      </c>
      <c r="C162" s="5" t="str">
        <f>IF(A162="","",'Nuts2_level analyse'!C10)</f>
        <v/>
      </c>
      <c r="D162" s="5" t="str">
        <f>IF(A162="","",'Nuts2_level analyse'!F10)</f>
        <v/>
      </c>
      <c r="E162" s="5" t="str">
        <f>IF(A162="","",'Nuts2_level analyse'!D10)</f>
        <v/>
      </c>
      <c r="F162" s="3" t="str">
        <f>IF(A162="","",'Nuts2_level analyse'!O10)</f>
        <v/>
      </c>
      <c r="G162" s="3" t="str">
        <f>IF(A162="","",IF('Nuts2_level analyse'!H10&gt;0,'Nuts2_level analyse'!L10/'Nuts2_level analyse'!H10*100,""))</f>
        <v/>
      </c>
      <c r="H162" s="3" t="str">
        <f>IF(A162="","",'Nuts2_level analyse'!AF10)</f>
        <v/>
      </c>
      <c r="I162" s="3" t="str">
        <f>IF(A162="","",'Nuts2_level analyse'!W10)</f>
        <v/>
      </c>
      <c r="J162" s="3" t="str">
        <f>IF(A162="","",IF('Nuts2_level analyse'!P10&gt;0,'Nuts2_level analyse'!T10/'Nuts2_level analyse'!P10*100,""))</f>
        <v/>
      </c>
      <c r="K162" s="7" t="str">
        <f>IF(A162="","",'Nuts2_level analyse'!AG10)</f>
        <v/>
      </c>
      <c r="L162" s="3" t="str">
        <f>IF(A162="","",'Nuts2_level analyse'!AE10)</f>
        <v/>
      </c>
      <c r="M162" s="3" t="str">
        <f>IF(A162="","",IF('Nuts2_level analyse'!X10&gt;0,'Nuts2_level analyse'!AB10/'Nuts2_level analyse'!X10*100,""))</f>
        <v/>
      </c>
      <c r="N162" s="7" t="str">
        <f>IF(A162="","",'Nuts2_level analyse'!AH10)</f>
        <v/>
      </c>
    </row>
    <row r="163" spans="1:14" x14ac:dyDescent="0.2">
      <c r="A163" s="8" t="str">
        <f>IF(LEN('Nuts2_level analyse'!A11)&gt;5,RIGHT('Nuts2_level analyse'!A11,LEN('Nuts2_level analyse'!A11)-5),"")</f>
        <v/>
      </c>
      <c r="B163" s="6" t="str">
        <f>LEFT('Nuts2_level analyse'!A11,4)</f>
        <v/>
      </c>
      <c r="C163" s="5" t="str">
        <f>IF(A163="","",'Nuts2_level analyse'!C11)</f>
        <v/>
      </c>
      <c r="D163" s="5" t="str">
        <f>IF(A163="","",'Nuts2_level analyse'!F11)</f>
        <v/>
      </c>
      <c r="E163" s="5" t="str">
        <f>IF(A163="","",'Nuts2_level analyse'!D11)</f>
        <v/>
      </c>
      <c r="F163" s="3" t="str">
        <f>IF(A163="","",'Nuts2_level analyse'!O11)</f>
        <v/>
      </c>
      <c r="G163" s="3" t="str">
        <f>IF(A163="","",IF('Nuts2_level analyse'!H11&gt;0,'Nuts2_level analyse'!L11/'Nuts2_level analyse'!H11*100,""))</f>
        <v/>
      </c>
      <c r="H163" s="3" t="str">
        <f>IF(A163="","",'Nuts2_level analyse'!AF11)</f>
        <v/>
      </c>
      <c r="I163" s="3" t="str">
        <f>IF(A163="","",'Nuts2_level analyse'!W11)</f>
        <v/>
      </c>
      <c r="J163" s="3" t="str">
        <f>IF(A163="","",IF('Nuts2_level analyse'!P11&gt;0,'Nuts2_level analyse'!T11/'Nuts2_level analyse'!P11*100,""))</f>
        <v/>
      </c>
      <c r="K163" s="7" t="str">
        <f>IF(A163="","",'Nuts2_level analyse'!AG11)</f>
        <v/>
      </c>
      <c r="L163" s="3" t="str">
        <f>IF(A163="","",'Nuts2_level analyse'!AE11)</f>
        <v/>
      </c>
      <c r="M163" s="3" t="str">
        <f>IF(A163="","",IF('Nuts2_level analyse'!X11&gt;0,'Nuts2_level analyse'!AB11/'Nuts2_level analyse'!X11*100,""))</f>
        <v/>
      </c>
      <c r="N163" s="7" t="str">
        <f>IF(A163="","",'Nuts2_level analyse'!AH11)</f>
        <v/>
      </c>
    </row>
    <row r="164" spans="1:14" x14ac:dyDescent="0.2">
      <c r="A164" s="8" t="str">
        <f>IF(LEN('Nuts2_level analyse'!A12)&gt;5,RIGHT('Nuts2_level analyse'!A12,LEN('Nuts2_level analyse'!A12)-5),"")</f>
        <v/>
      </c>
      <c r="B164" s="6" t="str">
        <f>LEFT('Nuts2_level analyse'!A12,4)</f>
        <v/>
      </c>
      <c r="C164" s="5" t="str">
        <f>IF(A164="","",'Nuts2_level analyse'!C12)</f>
        <v/>
      </c>
      <c r="D164" s="5" t="str">
        <f>IF(A164="","",'Nuts2_level analyse'!F12)</f>
        <v/>
      </c>
      <c r="E164" s="5" t="str">
        <f>IF(A164="","",'Nuts2_level analyse'!D12)</f>
        <v/>
      </c>
      <c r="F164" s="3" t="str">
        <f>IF(A164="","",'Nuts2_level analyse'!O12)</f>
        <v/>
      </c>
      <c r="G164" s="3" t="str">
        <f>IF(A164="","",IF('Nuts2_level analyse'!H12&gt;0,'Nuts2_level analyse'!L12/'Nuts2_level analyse'!H12*100,""))</f>
        <v/>
      </c>
      <c r="H164" s="3" t="str">
        <f>IF(A164="","",'Nuts2_level analyse'!AF12)</f>
        <v/>
      </c>
      <c r="I164" s="3" t="str">
        <f>IF(A164="","",'Nuts2_level analyse'!W12)</f>
        <v/>
      </c>
      <c r="J164" s="3" t="str">
        <f>IF(A164="","",IF('Nuts2_level analyse'!P12&gt;0,'Nuts2_level analyse'!T12/'Nuts2_level analyse'!P12*100,""))</f>
        <v/>
      </c>
      <c r="K164" s="7" t="str">
        <f>IF(A164="","",'Nuts2_level analyse'!AG12)</f>
        <v/>
      </c>
      <c r="L164" s="3" t="str">
        <f>IF(A164="","",'Nuts2_level analyse'!AE12)</f>
        <v/>
      </c>
      <c r="M164" s="3" t="str">
        <f>IF(A164="","",IF('Nuts2_level analyse'!X12&gt;0,'Nuts2_level analyse'!AB12/'Nuts2_level analyse'!X12*100,""))</f>
        <v/>
      </c>
      <c r="N164" s="7" t="str">
        <f>IF(A164="","",'Nuts2_level analyse'!AH12)</f>
        <v/>
      </c>
    </row>
    <row r="165" spans="1:14" x14ac:dyDescent="0.2">
      <c r="A165" s="8" t="str">
        <f>IF(LEN('Nuts2_level analyse'!A13)&gt;5,RIGHT('Nuts2_level analyse'!A13,LEN('Nuts2_level analyse'!A13)-5),"")</f>
        <v/>
      </c>
      <c r="B165" s="6" t="str">
        <f>LEFT('Nuts2_level analyse'!A13,4)</f>
        <v/>
      </c>
      <c r="C165" s="5" t="str">
        <f>IF(A165="","",'Nuts2_level analyse'!C13)</f>
        <v/>
      </c>
      <c r="D165" s="5" t="str">
        <f>IF(A165="","",'Nuts2_level analyse'!F13)</f>
        <v/>
      </c>
      <c r="E165" s="5" t="str">
        <f>IF(A165="","",'Nuts2_level analyse'!D13)</f>
        <v/>
      </c>
      <c r="F165" s="3" t="str">
        <f>IF(A165="","",'Nuts2_level analyse'!O13)</f>
        <v/>
      </c>
      <c r="G165" s="3" t="str">
        <f>IF(A165="","",IF('Nuts2_level analyse'!H13&gt;0,'Nuts2_level analyse'!L13/'Nuts2_level analyse'!H13*100,""))</f>
        <v/>
      </c>
      <c r="H165" s="3" t="str">
        <f>IF(A165="","",'Nuts2_level analyse'!AF13)</f>
        <v/>
      </c>
      <c r="I165" s="3" t="str">
        <f>IF(A165="","",'Nuts2_level analyse'!W13)</f>
        <v/>
      </c>
      <c r="J165" s="3" t="str">
        <f>IF(A165="","",IF('Nuts2_level analyse'!P13&gt;0,'Nuts2_level analyse'!T13/'Nuts2_level analyse'!P13*100,""))</f>
        <v/>
      </c>
      <c r="K165" s="7" t="str">
        <f>IF(A165="","",'Nuts2_level analyse'!AG13)</f>
        <v/>
      </c>
      <c r="L165" s="3" t="str">
        <f>IF(A165="","",'Nuts2_level analyse'!AE13)</f>
        <v/>
      </c>
      <c r="M165" s="3" t="str">
        <f>IF(A165="","",IF('Nuts2_level analyse'!X13&gt;0,'Nuts2_level analyse'!AB13/'Nuts2_level analyse'!X13*100,""))</f>
        <v/>
      </c>
      <c r="N165" s="7" t="str">
        <f>IF(A165="","",'Nuts2_level analyse'!AH13)</f>
        <v/>
      </c>
    </row>
    <row r="166" spans="1:14" x14ac:dyDescent="0.2">
      <c r="A166" s="8" t="str">
        <f>IF(LEN('Nuts2_level analyse'!A14)&gt;5,RIGHT('Nuts2_level analyse'!A14,LEN('Nuts2_level analyse'!A14)-5),"")</f>
        <v/>
      </c>
      <c r="B166" s="6" t="str">
        <f>LEFT('Nuts2_level analyse'!A14,4)</f>
        <v/>
      </c>
      <c r="C166" s="5" t="str">
        <f>IF(A166="","",'Nuts2_level analyse'!C14)</f>
        <v/>
      </c>
      <c r="D166" s="5" t="str">
        <f>IF(A166="","",'Nuts2_level analyse'!F14)</f>
        <v/>
      </c>
      <c r="E166" s="5" t="str">
        <f>IF(A166="","",'Nuts2_level analyse'!D14)</f>
        <v/>
      </c>
      <c r="F166" s="3" t="str">
        <f>IF(A166="","",'Nuts2_level analyse'!O14)</f>
        <v/>
      </c>
      <c r="G166" s="3" t="str">
        <f>IF(A166="","",IF('Nuts2_level analyse'!H14&gt;0,'Nuts2_level analyse'!L14/'Nuts2_level analyse'!H14*100,""))</f>
        <v/>
      </c>
      <c r="H166" s="3" t="str">
        <f>IF(A166="","",'Nuts2_level analyse'!AF14)</f>
        <v/>
      </c>
      <c r="I166" s="3" t="str">
        <f>IF(A166="","",'Nuts2_level analyse'!W14)</f>
        <v/>
      </c>
      <c r="J166" s="3" t="str">
        <f>IF(A166="","",IF('Nuts2_level analyse'!P14&gt;0,'Nuts2_level analyse'!T14/'Nuts2_level analyse'!P14*100,""))</f>
        <v/>
      </c>
      <c r="K166" s="7" t="str">
        <f>IF(A166="","",'Nuts2_level analyse'!AG14)</f>
        <v/>
      </c>
      <c r="L166" s="3" t="str">
        <f>IF(A166="","",'Nuts2_level analyse'!AE14)</f>
        <v/>
      </c>
      <c r="M166" s="3" t="str">
        <f>IF(A166="","",IF('Nuts2_level analyse'!X14&gt;0,'Nuts2_level analyse'!AB14/'Nuts2_level analyse'!X14*100,""))</f>
        <v/>
      </c>
      <c r="N166" s="7" t="str">
        <f>IF(A166="","",'Nuts2_level analyse'!AH14)</f>
        <v/>
      </c>
    </row>
    <row r="167" spans="1:14" x14ac:dyDescent="0.2">
      <c r="A167" s="8" t="str">
        <f>IF(LEN('Nuts2_level analyse'!A15)&gt;5,RIGHT('Nuts2_level analyse'!A15,LEN('Nuts2_level analyse'!A15)-5),"")</f>
        <v/>
      </c>
      <c r="B167" s="6" t="str">
        <f>LEFT('Nuts2_level analyse'!A15,4)</f>
        <v/>
      </c>
      <c r="C167" s="5" t="str">
        <f>IF(A167="","",'Nuts2_level analyse'!C15)</f>
        <v/>
      </c>
      <c r="D167" s="5" t="str">
        <f>IF(A167="","",'Nuts2_level analyse'!F15)</f>
        <v/>
      </c>
      <c r="E167" s="5" t="str">
        <f>IF(A167="","",'Nuts2_level analyse'!D15)</f>
        <v/>
      </c>
      <c r="F167" s="3" t="str">
        <f>IF(A167="","",'Nuts2_level analyse'!O15)</f>
        <v/>
      </c>
      <c r="G167" s="3" t="str">
        <f>IF(A167="","",IF('Nuts2_level analyse'!H15&gt;0,'Nuts2_level analyse'!L15/'Nuts2_level analyse'!H15*100,""))</f>
        <v/>
      </c>
      <c r="H167" s="3" t="str">
        <f>IF(A167="","",'Nuts2_level analyse'!AF15)</f>
        <v/>
      </c>
      <c r="I167" s="3" t="str">
        <f>IF(A167="","",'Nuts2_level analyse'!W15)</f>
        <v/>
      </c>
      <c r="J167" s="3" t="str">
        <f>IF(A167="","",IF('Nuts2_level analyse'!P15&gt;0,'Nuts2_level analyse'!T15/'Nuts2_level analyse'!P15*100,""))</f>
        <v/>
      </c>
      <c r="K167" s="7" t="str">
        <f>IF(A167="","",'Nuts2_level analyse'!AG15)</f>
        <v/>
      </c>
      <c r="L167" s="3" t="str">
        <f>IF(A167="","",'Nuts2_level analyse'!AE15)</f>
        <v/>
      </c>
      <c r="M167" s="3" t="str">
        <f>IF(A167="","",IF('Nuts2_level analyse'!X15&gt;0,'Nuts2_level analyse'!AB15/'Nuts2_level analyse'!X15*100,""))</f>
        <v/>
      </c>
      <c r="N167" s="7" t="str">
        <f>IF(A167="","",'Nuts2_level analyse'!AH15)</f>
        <v/>
      </c>
    </row>
    <row r="168" spans="1:14" x14ac:dyDescent="0.2">
      <c r="A168" s="8" t="str">
        <f>IF(LEN('Nuts2_level analyse'!A16)&gt;5,RIGHT('Nuts2_level analyse'!A16,LEN('Nuts2_level analyse'!A16)-5),"")</f>
        <v/>
      </c>
      <c r="B168" s="6" t="str">
        <f>LEFT('Nuts2_level analyse'!A16,4)</f>
        <v/>
      </c>
      <c r="C168" s="5" t="str">
        <f>IF(A168="","",'Nuts2_level analyse'!C16)</f>
        <v/>
      </c>
      <c r="D168" s="5" t="str">
        <f>IF(A168="","",'Nuts2_level analyse'!F16)</f>
        <v/>
      </c>
      <c r="E168" s="5" t="str">
        <f>IF(A168="","",'Nuts2_level analyse'!D16)</f>
        <v/>
      </c>
      <c r="F168" s="3" t="str">
        <f>IF(A168="","",'Nuts2_level analyse'!O16)</f>
        <v/>
      </c>
      <c r="G168" s="3" t="str">
        <f>IF(A168="","",IF('Nuts2_level analyse'!H16&gt;0,'Nuts2_level analyse'!L16/'Nuts2_level analyse'!H16*100,""))</f>
        <v/>
      </c>
      <c r="H168" s="3" t="str">
        <f>IF(A168="","",'Nuts2_level analyse'!AF16)</f>
        <v/>
      </c>
      <c r="I168" s="3" t="str">
        <f>IF(A168="","",'Nuts2_level analyse'!W16)</f>
        <v/>
      </c>
      <c r="J168" s="3" t="str">
        <f>IF(A168="","",IF('Nuts2_level analyse'!P16&gt;0,'Nuts2_level analyse'!T16/'Nuts2_level analyse'!P16*100,""))</f>
        <v/>
      </c>
      <c r="K168" s="7" t="str">
        <f>IF(A168="","",'Nuts2_level analyse'!AG16)</f>
        <v/>
      </c>
      <c r="L168" s="3" t="str">
        <f>IF(A168="","",'Nuts2_level analyse'!AE16)</f>
        <v/>
      </c>
      <c r="M168" s="3" t="str">
        <f>IF(A168="","",IF('Nuts2_level analyse'!X16&gt;0,'Nuts2_level analyse'!AB16/'Nuts2_level analyse'!X16*100,""))</f>
        <v/>
      </c>
      <c r="N168" s="7" t="str">
        <f>IF(A168="","",'Nuts2_level analyse'!AH16)</f>
        <v/>
      </c>
    </row>
    <row r="169" spans="1:14" x14ac:dyDescent="0.2">
      <c r="A169" s="8" t="str">
        <f>IF(LEN('Nuts2_level analyse'!A17)&gt;5,RIGHT('Nuts2_level analyse'!A17,LEN('Nuts2_level analyse'!A17)-5),"")</f>
        <v/>
      </c>
      <c r="B169" s="6" t="str">
        <f>LEFT('Nuts2_level analyse'!A17,4)</f>
        <v/>
      </c>
      <c r="C169" s="5" t="str">
        <f>IF(A169="","",'Nuts2_level analyse'!C17)</f>
        <v/>
      </c>
      <c r="D169" s="5" t="str">
        <f>IF(A169="","",'Nuts2_level analyse'!F17)</f>
        <v/>
      </c>
      <c r="E169" s="5" t="str">
        <f>IF(A169="","",'Nuts2_level analyse'!D17)</f>
        <v/>
      </c>
      <c r="F169" s="3" t="str">
        <f>IF(A169="","",'Nuts2_level analyse'!O17)</f>
        <v/>
      </c>
      <c r="G169" s="3" t="str">
        <f>IF(A169="","",IF('Nuts2_level analyse'!H17&gt;0,'Nuts2_level analyse'!L17/'Nuts2_level analyse'!H17*100,""))</f>
        <v/>
      </c>
      <c r="H169" s="3" t="str">
        <f>IF(A169="","",'Nuts2_level analyse'!AF17)</f>
        <v/>
      </c>
      <c r="I169" s="3" t="str">
        <f>IF(A169="","",'Nuts2_level analyse'!W17)</f>
        <v/>
      </c>
      <c r="J169" s="3" t="str">
        <f>IF(A169="","",IF('Nuts2_level analyse'!P17&gt;0,'Nuts2_level analyse'!T17/'Nuts2_level analyse'!P17*100,""))</f>
        <v/>
      </c>
      <c r="K169" s="7" t="str">
        <f>IF(A169="","",'Nuts2_level analyse'!AG17)</f>
        <v/>
      </c>
      <c r="L169" s="3" t="str">
        <f>IF(A169="","",'Nuts2_level analyse'!AE17)</f>
        <v/>
      </c>
      <c r="M169" s="3" t="str">
        <f>IF(A169="","",IF('Nuts2_level analyse'!X17&gt;0,'Nuts2_level analyse'!AB17/'Nuts2_level analyse'!X17*100,""))</f>
        <v/>
      </c>
      <c r="N169" s="7" t="str">
        <f>IF(A169="","",'Nuts2_level analyse'!AH17)</f>
        <v/>
      </c>
    </row>
    <row r="170" spans="1:14" x14ac:dyDescent="0.2">
      <c r="A170" s="8" t="str">
        <f>IF(LEN('Nuts2_level analyse'!A18)&gt;5,RIGHT('Nuts2_level analyse'!A18,LEN('Nuts2_level analyse'!A18)-5),"")</f>
        <v/>
      </c>
      <c r="B170" s="6" t="str">
        <f>LEFT('Nuts2_level analyse'!A18,4)</f>
        <v/>
      </c>
      <c r="C170" s="5" t="str">
        <f>IF(A170="","",'Nuts2_level analyse'!C18)</f>
        <v/>
      </c>
      <c r="D170" s="5" t="str">
        <f>IF(A170="","",'Nuts2_level analyse'!F18)</f>
        <v/>
      </c>
      <c r="E170" s="5" t="str">
        <f>IF(A170="","",'Nuts2_level analyse'!D18)</f>
        <v/>
      </c>
      <c r="F170" s="3" t="str">
        <f>IF(A170="","",'Nuts2_level analyse'!O18)</f>
        <v/>
      </c>
      <c r="G170" s="3" t="str">
        <f>IF(A170="","",IF('Nuts2_level analyse'!H18&gt;0,'Nuts2_level analyse'!L18/'Nuts2_level analyse'!H18*100,""))</f>
        <v/>
      </c>
      <c r="H170" s="3" t="str">
        <f>IF(A170="","",'Nuts2_level analyse'!AF18)</f>
        <v/>
      </c>
      <c r="I170" s="3" t="str">
        <f>IF(A170="","",'Nuts2_level analyse'!W18)</f>
        <v/>
      </c>
      <c r="J170" s="3" t="str">
        <f>IF(A170="","",IF('Nuts2_level analyse'!P18&gt;0,'Nuts2_level analyse'!T18/'Nuts2_level analyse'!P18*100,""))</f>
        <v/>
      </c>
      <c r="K170" s="7" t="str">
        <f>IF(A170="","",'Nuts2_level analyse'!AG18)</f>
        <v/>
      </c>
      <c r="L170" s="3" t="str">
        <f>IF(A170="","",'Nuts2_level analyse'!AE18)</f>
        <v/>
      </c>
      <c r="M170" s="3" t="str">
        <f>IF(A170="","",IF('Nuts2_level analyse'!X18&gt;0,'Nuts2_level analyse'!AB18/'Nuts2_level analyse'!X18*100,""))</f>
        <v/>
      </c>
      <c r="N170" s="7" t="str">
        <f>IF(A170="","",'Nuts2_level analyse'!AH18)</f>
        <v/>
      </c>
    </row>
    <row r="171" spans="1:14" x14ac:dyDescent="0.2">
      <c r="A171" s="8" t="str">
        <f>IF(LEN('Nuts2_level analyse'!A19)&gt;5,RIGHT('Nuts2_level analyse'!A19,LEN('Nuts2_level analyse'!A19)-5),"")</f>
        <v/>
      </c>
      <c r="B171" s="6" t="str">
        <f>LEFT('Nuts2_level analyse'!A19,4)</f>
        <v/>
      </c>
      <c r="C171" s="5" t="str">
        <f>IF(A171="","",'Nuts2_level analyse'!C19)</f>
        <v/>
      </c>
      <c r="D171" s="5" t="str">
        <f>IF(A171="","",'Nuts2_level analyse'!F19)</f>
        <v/>
      </c>
      <c r="E171" s="5" t="str">
        <f>IF(A171="","",'Nuts2_level analyse'!D19)</f>
        <v/>
      </c>
      <c r="F171" s="3" t="str">
        <f>IF(A171="","",'Nuts2_level analyse'!O19)</f>
        <v/>
      </c>
      <c r="G171" s="3" t="str">
        <f>IF(A171="","",IF('Nuts2_level analyse'!H19&gt;0,'Nuts2_level analyse'!L19/'Nuts2_level analyse'!H19*100,""))</f>
        <v/>
      </c>
      <c r="H171" s="3" t="str">
        <f>IF(A171="","",'Nuts2_level analyse'!AF19)</f>
        <v/>
      </c>
      <c r="I171" s="3" t="str">
        <f>IF(A171="","",'Nuts2_level analyse'!W19)</f>
        <v/>
      </c>
      <c r="J171" s="3" t="str">
        <f>IF(A171="","",IF('Nuts2_level analyse'!P19&gt;0,'Nuts2_level analyse'!T19/'Nuts2_level analyse'!P19*100,""))</f>
        <v/>
      </c>
      <c r="K171" s="7" t="str">
        <f>IF(A171="","",'Nuts2_level analyse'!AG19)</f>
        <v/>
      </c>
      <c r="L171" s="3" t="str">
        <f>IF(A171="","",'Nuts2_level analyse'!AE19)</f>
        <v/>
      </c>
      <c r="M171" s="3" t="str">
        <f>IF(A171="","",IF('Nuts2_level analyse'!X19&gt;0,'Nuts2_level analyse'!AB19/'Nuts2_level analyse'!X19*100,""))</f>
        <v/>
      </c>
      <c r="N171" s="7" t="str">
        <f>IF(A171="","",'Nuts2_level analyse'!AH19)</f>
        <v/>
      </c>
    </row>
    <row r="172" spans="1:14" x14ac:dyDescent="0.2">
      <c r="A172" s="8" t="str">
        <f>IF(LEN('Nuts2_level analyse'!A20)&gt;5,RIGHT('Nuts2_level analyse'!A20,LEN('Nuts2_level analyse'!A20)-5),"")</f>
        <v/>
      </c>
      <c r="B172" s="6" t="str">
        <f>LEFT('Nuts2_level analyse'!A20,4)</f>
        <v/>
      </c>
      <c r="C172" s="5" t="str">
        <f>IF(A172="","",'Nuts2_level analyse'!C20)</f>
        <v/>
      </c>
      <c r="D172" s="5" t="str">
        <f>IF(A172="","",'Nuts2_level analyse'!F20)</f>
        <v/>
      </c>
      <c r="E172" s="5" t="str">
        <f>IF(A172="","",'Nuts2_level analyse'!D20)</f>
        <v/>
      </c>
      <c r="F172" s="3" t="str">
        <f>IF(A172="","",'Nuts2_level analyse'!O20)</f>
        <v/>
      </c>
      <c r="G172" s="3" t="str">
        <f>IF(A172="","",IF('Nuts2_level analyse'!H20&gt;0,'Nuts2_level analyse'!L20/'Nuts2_level analyse'!H20*100,""))</f>
        <v/>
      </c>
      <c r="H172" s="3" t="str">
        <f>IF(A172="","",'Nuts2_level analyse'!AF20)</f>
        <v/>
      </c>
      <c r="I172" s="3" t="str">
        <f>IF(A172="","",'Nuts2_level analyse'!W20)</f>
        <v/>
      </c>
      <c r="J172" s="3" t="str">
        <f>IF(A172="","",IF('Nuts2_level analyse'!P20&gt;0,'Nuts2_level analyse'!T20/'Nuts2_level analyse'!P20*100,""))</f>
        <v/>
      </c>
      <c r="K172" s="7" t="str">
        <f>IF(A172="","",'Nuts2_level analyse'!AG20)</f>
        <v/>
      </c>
      <c r="L172" s="3" t="str">
        <f>IF(A172="","",'Nuts2_level analyse'!AE20)</f>
        <v/>
      </c>
      <c r="M172" s="3" t="str">
        <f>IF(A172="","",IF('Nuts2_level analyse'!X20&gt;0,'Nuts2_level analyse'!AB20/'Nuts2_level analyse'!X20*100,""))</f>
        <v/>
      </c>
      <c r="N172" s="7" t="str">
        <f>IF(A172="","",'Nuts2_level analyse'!AH20)</f>
        <v/>
      </c>
    </row>
    <row r="173" spans="1:14" x14ac:dyDescent="0.2">
      <c r="A173" s="8" t="str">
        <f>IF(LEN('Nuts2_level analyse'!A21)&gt;5,RIGHT('Nuts2_level analyse'!A21,LEN('Nuts2_level analyse'!A21)-5),"")</f>
        <v/>
      </c>
      <c r="B173" s="6" t="str">
        <f>LEFT('Nuts2_level analyse'!A21,4)</f>
        <v/>
      </c>
      <c r="C173" s="5" t="str">
        <f>IF(A173="","",'Nuts2_level analyse'!C21)</f>
        <v/>
      </c>
      <c r="D173" s="5" t="str">
        <f>IF(A173="","",'Nuts2_level analyse'!F21)</f>
        <v/>
      </c>
      <c r="E173" s="5" t="str">
        <f>IF(A173="","",'Nuts2_level analyse'!D21)</f>
        <v/>
      </c>
      <c r="F173" s="3" t="str">
        <f>IF(A173="","",'Nuts2_level analyse'!O21)</f>
        <v/>
      </c>
      <c r="G173" s="3" t="str">
        <f>IF(A173="","",IF('Nuts2_level analyse'!H21&gt;0,'Nuts2_level analyse'!L21/'Nuts2_level analyse'!H21*100,""))</f>
        <v/>
      </c>
      <c r="H173" s="3" t="str">
        <f>IF(A173="","",'Nuts2_level analyse'!AF21)</f>
        <v/>
      </c>
      <c r="I173" s="3" t="str">
        <f>IF(A173="","",'Nuts2_level analyse'!W21)</f>
        <v/>
      </c>
      <c r="J173" s="3" t="str">
        <f>IF(A173="","",IF('Nuts2_level analyse'!P21&gt;0,'Nuts2_level analyse'!T21/'Nuts2_level analyse'!P21*100,""))</f>
        <v/>
      </c>
      <c r="K173" s="7" t="str">
        <f>IF(A173="","",'Nuts2_level analyse'!AG21)</f>
        <v/>
      </c>
      <c r="L173" s="3" t="str">
        <f>IF(A173="","",'Nuts2_level analyse'!AE21)</f>
        <v/>
      </c>
      <c r="M173" s="3" t="str">
        <f>IF(A173="","",IF('Nuts2_level analyse'!X21&gt;0,'Nuts2_level analyse'!AB21/'Nuts2_level analyse'!X21*100,""))</f>
        <v/>
      </c>
      <c r="N173" s="7" t="str">
        <f>IF(A173="","",'Nuts2_level analyse'!AH21)</f>
        <v/>
      </c>
    </row>
    <row r="174" spans="1:14" x14ac:dyDescent="0.2">
      <c r="A174" s="8" t="str">
        <f>IF(LEN('Nuts2_level analyse'!A22)&gt;5,RIGHT('Nuts2_level analyse'!A22,LEN('Nuts2_level analyse'!A22)-5),"")</f>
        <v/>
      </c>
      <c r="B174" s="6" t="str">
        <f>LEFT('Nuts2_level analyse'!A22,4)</f>
        <v/>
      </c>
      <c r="C174" s="5" t="str">
        <f>IF(A174="","",'Nuts2_level analyse'!C22)</f>
        <v/>
      </c>
      <c r="D174" s="5" t="str">
        <f>IF(A174="","",'Nuts2_level analyse'!F22)</f>
        <v/>
      </c>
      <c r="E174" s="5" t="str">
        <f>IF(A174="","",'Nuts2_level analyse'!D22)</f>
        <v/>
      </c>
      <c r="F174" s="3" t="str">
        <f>IF(A174="","",'Nuts2_level analyse'!O22)</f>
        <v/>
      </c>
      <c r="G174" s="3" t="str">
        <f>IF(A174="","",IF('Nuts2_level analyse'!H22&gt;0,'Nuts2_level analyse'!L22/'Nuts2_level analyse'!H22*100,""))</f>
        <v/>
      </c>
      <c r="H174" s="3" t="str">
        <f>IF(A174="","",'Nuts2_level analyse'!AF22)</f>
        <v/>
      </c>
      <c r="I174" s="3" t="str">
        <f>IF(A174="","",'Nuts2_level analyse'!W22)</f>
        <v/>
      </c>
      <c r="J174" s="3" t="str">
        <f>IF(A174="","",IF('Nuts2_level analyse'!P22&gt;0,'Nuts2_level analyse'!T22/'Nuts2_level analyse'!P22*100,""))</f>
        <v/>
      </c>
      <c r="K174" s="7" t="str">
        <f>IF(A174="","",'Nuts2_level analyse'!AG22)</f>
        <v/>
      </c>
      <c r="L174" s="3" t="str">
        <f>IF(A174="","",'Nuts2_level analyse'!AE22)</f>
        <v/>
      </c>
      <c r="M174" s="3" t="str">
        <f>IF(A174="","",IF('Nuts2_level analyse'!X22&gt;0,'Nuts2_level analyse'!AB22/'Nuts2_level analyse'!X22*100,""))</f>
        <v/>
      </c>
      <c r="N174" s="7" t="str">
        <f>IF(A174="","",'Nuts2_level analyse'!AH22)</f>
        <v/>
      </c>
    </row>
    <row r="175" spans="1:14" x14ac:dyDescent="0.2">
      <c r="A175" s="8" t="str">
        <f>IF(LEN('Nuts2_level analyse'!A23)&gt;5,RIGHT('Nuts2_level analyse'!A23,LEN('Nuts2_level analyse'!A23)-5),"")</f>
        <v/>
      </c>
      <c r="B175" s="6" t="str">
        <f>LEFT('Nuts2_level analyse'!A23,4)</f>
        <v/>
      </c>
      <c r="C175" s="5" t="str">
        <f>IF(A175="","",'Nuts2_level analyse'!C23)</f>
        <v/>
      </c>
      <c r="D175" s="5" t="str">
        <f>IF(A175="","",'Nuts2_level analyse'!F23)</f>
        <v/>
      </c>
      <c r="E175" s="5" t="str">
        <f>IF(A175="","",'Nuts2_level analyse'!D23)</f>
        <v/>
      </c>
      <c r="F175" s="3" t="str">
        <f>IF(A175="","",'Nuts2_level analyse'!O23)</f>
        <v/>
      </c>
      <c r="G175" s="3" t="str">
        <f>IF(A175="","",IF('Nuts2_level analyse'!H23&gt;0,'Nuts2_level analyse'!L23/'Nuts2_level analyse'!H23*100,""))</f>
        <v/>
      </c>
      <c r="H175" s="3" t="str">
        <f>IF(A175="","",'Nuts2_level analyse'!AF23)</f>
        <v/>
      </c>
      <c r="I175" s="3" t="str">
        <f>IF(A175="","",'Nuts2_level analyse'!W23)</f>
        <v/>
      </c>
      <c r="J175" s="3" t="str">
        <f>IF(A175="","",IF('Nuts2_level analyse'!P23&gt;0,'Nuts2_level analyse'!T23/'Nuts2_level analyse'!P23*100,""))</f>
        <v/>
      </c>
      <c r="K175" s="7" t="str">
        <f>IF(A175="","",'Nuts2_level analyse'!AG23)</f>
        <v/>
      </c>
      <c r="L175" s="3" t="str">
        <f>IF(A175="","",'Nuts2_level analyse'!AE23)</f>
        <v/>
      </c>
      <c r="M175" s="3" t="str">
        <f>IF(A175="","",IF('Nuts2_level analyse'!X23&gt;0,'Nuts2_level analyse'!AB23/'Nuts2_level analyse'!X23*100,""))</f>
        <v/>
      </c>
      <c r="N175" s="7" t="str">
        <f>IF(A175="","",'Nuts2_level analyse'!AH23)</f>
        <v/>
      </c>
    </row>
    <row r="176" spans="1:14" x14ac:dyDescent="0.2">
      <c r="A176" s="8" t="str">
        <f>IF(LEN('Nuts2_level analyse'!A24)&gt;5,RIGHT('Nuts2_level analyse'!A24,LEN('Nuts2_level analyse'!A24)-5),"")</f>
        <v/>
      </c>
      <c r="B176" s="6" t="str">
        <f>LEFT('Nuts2_level analyse'!A24,4)</f>
        <v/>
      </c>
      <c r="C176" s="5" t="str">
        <f>IF(A176="","",'Nuts2_level analyse'!C24)</f>
        <v/>
      </c>
      <c r="D176" s="5" t="str">
        <f>IF(A176="","",'Nuts2_level analyse'!F24)</f>
        <v/>
      </c>
      <c r="E176" s="5" t="str">
        <f>IF(A176="","",'Nuts2_level analyse'!D24)</f>
        <v/>
      </c>
      <c r="F176" s="3" t="str">
        <f>IF(A176="","",'Nuts2_level analyse'!O24)</f>
        <v/>
      </c>
      <c r="G176" s="3" t="str">
        <f>IF(A176="","",IF('Nuts2_level analyse'!H24&gt;0,'Nuts2_level analyse'!L24/'Nuts2_level analyse'!H24*100,""))</f>
        <v/>
      </c>
      <c r="H176" s="3" t="str">
        <f>IF(A176="","",'Nuts2_level analyse'!AF24)</f>
        <v/>
      </c>
      <c r="I176" s="3" t="str">
        <f>IF(A176="","",'Nuts2_level analyse'!W24)</f>
        <v/>
      </c>
      <c r="J176" s="3" t="str">
        <f>IF(A176="","",IF('Nuts2_level analyse'!P24&gt;0,'Nuts2_level analyse'!T24/'Nuts2_level analyse'!P24*100,""))</f>
        <v/>
      </c>
      <c r="K176" s="7" t="str">
        <f>IF(A176="","",'Nuts2_level analyse'!AG24)</f>
        <v/>
      </c>
      <c r="L176" s="3" t="str">
        <f>IF(A176="","",'Nuts2_level analyse'!AE24)</f>
        <v/>
      </c>
      <c r="M176" s="3" t="str">
        <f>IF(A176="","",IF('Nuts2_level analyse'!X24&gt;0,'Nuts2_level analyse'!AB24/'Nuts2_level analyse'!X24*100,""))</f>
        <v/>
      </c>
      <c r="N176" s="7" t="str">
        <f>IF(A176="","",'Nuts2_level analyse'!AH24)</f>
        <v/>
      </c>
    </row>
    <row r="177" spans="1:14" x14ac:dyDescent="0.2">
      <c r="A177" s="8" t="str">
        <f>IF(LEN('Nuts2_level analyse'!A25)&gt;5,RIGHT('Nuts2_level analyse'!A25,LEN('Nuts2_level analyse'!A25)-5),"")</f>
        <v/>
      </c>
      <c r="B177" s="6" t="str">
        <f>LEFT('Nuts2_level analyse'!A25,4)</f>
        <v/>
      </c>
      <c r="C177" s="5" t="str">
        <f>IF(A177="","",'Nuts2_level analyse'!C25)</f>
        <v/>
      </c>
      <c r="D177" s="5" t="str">
        <f>IF(A177="","",'Nuts2_level analyse'!F25)</f>
        <v/>
      </c>
      <c r="E177" s="5" t="str">
        <f>IF(A177="","",'Nuts2_level analyse'!D25)</f>
        <v/>
      </c>
      <c r="F177" s="3" t="str">
        <f>IF(A177="","",'Nuts2_level analyse'!O25)</f>
        <v/>
      </c>
      <c r="G177" s="3" t="str">
        <f>IF(A177="","",IF('Nuts2_level analyse'!H25&gt;0,'Nuts2_level analyse'!L25/'Nuts2_level analyse'!H25*100,""))</f>
        <v/>
      </c>
      <c r="H177" s="3" t="str">
        <f>IF(A177="","",'Nuts2_level analyse'!AF25)</f>
        <v/>
      </c>
      <c r="I177" s="3" t="str">
        <f>IF(A177="","",'Nuts2_level analyse'!W25)</f>
        <v/>
      </c>
      <c r="J177" s="3" t="str">
        <f>IF(A177="","",IF('Nuts2_level analyse'!P25&gt;0,'Nuts2_level analyse'!T25/'Nuts2_level analyse'!P25*100,""))</f>
        <v/>
      </c>
      <c r="K177" s="7" t="str">
        <f>IF(A177="","",'Nuts2_level analyse'!AG25)</f>
        <v/>
      </c>
      <c r="L177" s="3" t="str">
        <f>IF(A177="","",'Nuts2_level analyse'!AE25)</f>
        <v/>
      </c>
      <c r="M177" s="3" t="str">
        <f>IF(A177="","",IF('Nuts2_level analyse'!X25&gt;0,'Nuts2_level analyse'!AB25/'Nuts2_level analyse'!X25*100,""))</f>
        <v/>
      </c>
      <c r="N177" s="7" t="str">
        <f>IF(A177="","",'Nuts2_level analyse'!AH25)</f>
        <v/>
      </c>
    </row>
    <row r="178" spans="1:14" x14ac:dyDescent="0.2">
      <c r="A178" s="8" t="str">
        <f>IF(LEN('Nuts2_level analyse'!A26)&gt;5,RIGHT('Nuts2_level analyse'!A26,LEN('Nuts2_level analyse'!A26)-5),"")</f>
        <v/>
      </c>
      <c r="B178" s="6" t="str">
        <f>LEFT('Nuts2_level analyse'!A26,4)</f>
        <v/>
      </c>
      <c r="C178" s="5" t="str">
        <f>IF(A178="","",'Nuts2_level analyse'!C26)</f>
        <v/>
      </c>
      <c r="D178" s="5" t="str">
        <f>IF(A178="","",'Nuts2_level analyse'!F26)</f>
        <v/>
      </c>
      <c r="E178" s="5" t="str">
        <f>IF(A178="","",'Nuts2_level analyse'!D26)</f>
        <v/>
      </c>
      <c r="F178" s="3" t="str">
        <f>IF(A178="","",'Nuts2_level analyse'!O26)</f>
        <v/>
      </c>
      <c r="G178" s="3" t="str">
        <f>IF(A178="","",IF('Nuts2_level analyse'!H26&gt;0,'Nuts2_level analyse'!L26/'Nuts2_level analyse'!H26*100,""))</f>
        <v/>
      </c>
      <c r="H178" s="3" t="str">
        <f>IF(A178="","",'Nuts2_level analyse'!AF26)</f>
        <v/>
      </c>
      <c r="I178" s="3" t="str">
        <f>IF(A178="","",'Nuts2_level analyse'!W26)</f>
        <v/>
      </c>
      <c r="J178" s="3" t="str">
        <f>IF(A178="","",IF('Nuts2_level analyse'!P26&gt;0,'Nuts2_level analyse'!T26/'Nuts2_level analyse'!P26*100,""))</f>
        <v/>
      </c>
      <c r="K178" s="7" t="str">
        <f>IF(A178="","",'Nuts2_level analyse'!AG26)</f>
        <v/>
      </c>
      <c r="L178" s="3" t="str">
        <f>IF(A178="","",'Nuts2_level analyse'!AE26)</f>
        <v/>
      </c>
      <c r="M178" s="3" t="str">
        <f>IF(A178="","",IF('Nuts2_level analyse'!X26&gt;0,'Nuts2_level analyse'!AB26/'Nuts2_level analyse'!X26*100,""))</f>
        <v/>
      </c>
      <c r="N178" s="7" t="str">
        <f>IF(A178="","",'Nuts2_level analyse'!AH26)</f>
        <v/>
      </c>
    </row>
    <row r="179" spans="1:14" x14ac:dyDescent="0.2">
      <c r="A179" s="8" t="str">
        <f>IF(LEN('Nuts2_level analyse'!A27)&gt;5,RIGHT('Nuts2_level analyse'!A27,LEN('Nuts2_level analyse'!A27)-5),"")</f>
        <v/>
      </c>
      <c r="B179" s="6" t="str">
        <f>LEFT('Nuts2_level analyse'!A27,4)</f>
        <v/>
      </c>
      <c r="C179" s="5" t="str">
        <f>IF(A179="","",'Nuts2_level analyse'!C27)</f>
        <v/>
      </c>
      <c r="D179" s="5" t="str">
        <f>IF(A179="","",'Nuts2_level analyse'!F27)</f>
        <v/>
      </c>
      <c r="E179" s="5" t="str">
        <f>IF(A179="","",'Nuts2_level analyse'!D27)</f>
        <v/>
      </c>
      <c r="F179" s="3" t="str">
        <f>IF(A179="","",'Nuts2_level analyse'!O27)</f>
        <v/>
      </c>
      <c r="G179" s="3" t="str">
        <f>IF(A179="","",IF('Nuts2_level analyse'!H27&gt;0,'Nuts2_level analyse'!L27/'Nuts2_level analyse'!H27*100,""))</f>
        <v/>
      </c>
      <c r="H179" s="3" t="str">
        <f>IF(A179="","",'Nuts2_level analyse'!AF27)</f>
        <v/>
      </c>
      <c r="I179" s="3" t="str">
        <f>IF(A179="","",'Nuts2_level analyse'!W27)</f>
        <v/>
      </c>
      <c r="J179" s="3" t="str">
        <f>IF(A179="","",IF('Nuts2_level analyse'!P27&gt;0,'Nuts2_level analyse'!T27/'Nuts2_level analyse'!P27*100,""))</f>
        <v/>
      </c>
      <c r="K179" s="7" t="str">
        <f>IF(A179="","",'Nuts2_level analyse'!AG27)</f>
        <v/>
      </c>
      <c r="L179" s="3" t="str">
        <f>IF(A179="","",'Nuts2_level analyse'!AE27)</f>
        <v/>
      </c>
      <c r="M179" s="3" t="str">
        <f>IF(A179="","",IF('Nuts2_level analyse'!X27&gt;0,'Nuts2_level analyse'!AB27/'Nuts2_level analyse'!X27*100,""))</f>
        <v/>
      </c>
      <c r="N179" s="7" t="str">
        <f>IF(A179="","",'Nuts2_level analyse'!AH27)</f>
        <v/>
      </c>
    </row>
    <row r="180" spans="1:14" x14ac:dyDescent="0.2">
      <c r="A180" s="8" t="str">
        <f>IF(LEN('Nuts2_level analyse'!A28)&gt;5,RIGHT('Nuts2_level analyse'!A28,LEN('Nuts2_level analyse'!A28)-5),"")</f>
        <v/>
      </c>
      <c r="B180" s="6" t="str">
        <f>LEFT('Nuts2_level analyse'!A28,4)</f>
        <v/>
      </c>
      <c r="C180" s="5" t="str">
        <f>IF(A180="","",'Nuts2_level analyse'!C28)</f>
        <v/>
      </c>
      <c r="D180" s="5" t="str">
        <f>IF(A180="","",'Nuts2_level analyse'!F28)</f>
        <v/>
      </c>
      <c r="E180" s="5" t="str">
        <f>IF(A180="","",'Nuts2_level analyse'!D28)</f>
        <v/>
      </c>
      <c r="F180" s="3" t="str">
        <f>IF(A180="","",'Nuts2_level analyse'!O28)</f>
        <v/>
      </c>
      <c r="G180" s="3" t="str">
        <f>IF(A180="","",IF('Nuts2_level analyse'!H28&gt;0,'Nuts2_level analyse'!L28/'Nuts2_level analyse'!H28*100,""))</f>
        <v/>
      </c>
      <c r="H180" s="3" t="str">
        <f>IF(A180="","",'Nuts2_level analyse'!AF28)</f>
        <v/>
      </c>
      <c r="I180" s="3" t="str">
        <f>IF(A180="","",'Nuts2_level analyse'!W28)</f>
        <v/>
      </c>
      <c r="J180" s="3" t="str">
        <f>IF(A180="","",IF('Nuts2_level analyse'!P28&gt;0,'Nuts2_level analyse'!T28/'Nuts2_level analyse'!P28*100,""))</f>
        <v/>
      </c>
      <c r="K180" s="7" t="str">
        <f>IF(A180="","",'Nuts2_level analyse'!AG28)</f>
        <v/>
      </c>
      <c r="L180" s="3" t="str">
        <f>IF(A180="","",'Nuts2_level analyse'!AE28)</f>
        <v/>
      </c>
      <c r="M180" s="3" t="str">
        <f>IF(A180="","",IF('Nuts2_level analyse'!X28&gt;0,'Nuts2_level analyse'!AB28/'Nuts2_level analyse'!X28*100,""))</f>
        <v/>
      </c>
      <c r="N180" s="7" t="str">
        <f>IF(A180="","",'Nuts2_level analyse'!AH28)</f>
        <v/>
      </c>
    </row>
    <row r="181" spans="1:14" x14ac:dyDescent="0.2">
      <c r="A181" s="8" t="str">
        <f>IF(LEN('Nuts2_level analyse'!A29)&gt;5,RIGHT('Nuts2_level analyse'!A29,LEN('Nuts2_level analyse'!A29)-5),"")</f>
        <v/>
      </c>
      <c r="B181" s="6" t="str">
        <f>LEFT('Nuts2_level analyse'!A29,4)</f>
        <v/>
      </c>
      <c r="C181" s="5" t="str">
        <f>IF(A181="","",'Nuts2_level analyse'!C29)</f>
        <v/>
      </c>
      <c r="D181" s="5" t="str">
        <f>IF(A181="","",'Nuts2_level analyse'!F29)</f>
        <v/>
      </c>
      <c r="E181" s="5" t="str">
        <f>IF(A181="","",'Nuts2_level analyse'!D29)</f>
        <v/>
      </c>
      <c r="F181" s="3" t="str">
        <f>IF(A181="","",'Nuts2_level analyse'!O29)</f>
        <v/>
      </c>
      <c r="G181" s="3" t="str">
        <f>IF(A181="","",IF('Nuts2_level analyse'!H29&gt;0,'Nuts2_level analyse'!L29/'Nuts2_level analyse'!H29*100,""))</f>
        <v/>
      </c>
      <c r="H181" s="3" t="str">
        <f>IF(A181="","",'Nuts2_level analyse'!AF29)</f>
        <v/>
      </c>
      <c r="I181" s="3" t="str">
        <f>IF(A181="","",'Nuts2_level analyse'!W29)</f>
        <v/>
      </c>
      <c r="J181" s="3" t="str">
        <f>IF(A181="","",IF('Nuts2_level analyse'!P29&gt;0,'Nuts2_level analyse'!T29/'Nuts2_level analyse'!P29*100,""))</f>
        <v/>
      </c>
      <c r="K181" s="7" t="str">
        <f>IF(A181="","",'Nuts2_level analyse'!AG29)</f>
        <v/>
      </c>
      <c r="L181" s="3" t="str">
        <f>IF(A181="","",'Nuts2_level analyse'!AE29)</f>
        <v/>
      </c>
      <c r="M181" s="3" t="str">
        <f>IF(A181="","",IF('Nuts2_level analyse'!X29&gt;0,'Nuts2_level analyse'!AB29/'Nuts2_level analyse'!X29*100,""))</f>
        <v/>
      </c>
      <c r="N181" s="7" t="str">
        <f>IF(A181="","",'Nuts2_level analyse'!AH29)</f>
        <v/>
      </c>
    </row>
    <row r="182" spans="1:14" x14ac:dyDescent="0.2">
      <c r="A182" s="8" t="str">
        <f>IF(LEN('Nuts2_level analyse'!A30)&gt;5,RIGHT('Nuts2_level analyse'!A30,LEN('Nuts2_level analyse'!A30)-5),"")</f>
        <v/>
      </c>
      <c r="B182" s="6" t="str">
        <f>LEFT('Nuts2_level analyse'!A30,4)</f>
        <v/>
      </c>
      <c r="C182" s="5" t="str">
        <f>IF(A182="","",'Nuts2_level analyse'!C30)</f>
        <v/>
      </c>
      <c r="D182" s="5" t="str">
        <f>IF(A182="","",'Nuts2_level analyse'!F30)</f>
        <v/>
      </c>
      <c r="E182" s="5" t="str">
        <f>IF(A182="","",'Nuts2_level analyse'!D30)</f>
        <v/>
      </c>
      <c r="F182" s="3" t="str">
        <f>IF(A182="","",'Nuts2_level analyse'!O30)</f>
        <v/>
      </c>
      <c r="G182" s="3" t="str">
        <f>IF(A182="","",IF('Nuts2_level analyse'!H30&gt;0,'Nuts2_level analyse'!L30/'Nuts2_level analyse'!H30*100,""))</f>
        <v/>
      </c>
      <c r="H182" s="3" t="str">
        <f>IF(A182="","",'Nuts2_level analyse'!AF30)</f>
        <v/>
      </c>
      <c r="I182" s="3" t="str">
        <f>IF(A182="","",'Nuts2_level analyse'!W30)</f>
        <v/>
      </c>
      <c r="J182" s="3" t="str">
        <f>IF(A182="","",IF('Nuts2_level analyse'!P30&gt;0,'Nuts2_level analyse'!T30/'Nuts2_level analyse'!P30*100,""))</f>
        <v/>
      </c>
      <c r="K182" s="7" t="str">
        <f>IF(A182="","",'Nuts2_level analyse'!AG30)</f>
        <v/>
      </c>
      <c r="L182" s="3" t="str">
        <f>IF(A182="","",'Nuts2_level analyse'!AE30)</f>
        <v/>
      </c>
      <c r="M182" s="3" t="str">
        <f>IF(A182="","",IF('Nuts2_level analyse'!X30&gt;0,'Nuts2_level analyse'!AB30/'Nuts2_level analyse'!X30*100,""))</f>
        <v/>
      </c>
      <c r="N182" s="7" t="str">
        <f>IF(A182="","",'Nuts2_level analyse'!AH30)</f>
        <v/>
      </c>
    </row>
    <row r="183" spans="1:14" x14ac:dyDescent="0.2">
      <c r="A183" s="8" t="str">
        <f>IF(LEN('Nuts2_level analyse'!A31)&gt;5,RIGHT('Nuts2_level analyse'!A31,LEN('Nuts2_level analyse'!A31)-5),"")</f>
        <v/>
      </c>
      <c r="B183" s="6" t="str">
        <f>LEFT('Nuts2_level analyse'!A31,4)</f>
        <v/>
      </c>
      <c r="C183" s="5" t="str">
        <f>IF(A183="","",'Nuts2_level analyse'!C31)</f>
        <v/>
      </c>
      <c r="D183" s="5" t="str">
        <f>IF(A183="","",'Nuts2_level analyse'!F31)</f>
        <v/>
      </c>
      <c r="E183" s="5" t="str">
        <f>IF(A183="","",'Nuts2_level analyse'!D31)</f>
        <v/>
      </c>
      <c r="F183" s="3" t="str">
        <f>IF(A183="","",'Nuts2_level analyse'!O31)</f>
        <v/>
      </c>
      <c r="G183" s="3" t="str">
        <f>IF(A183="","",IF('Nuts2_level analyse'!H31&gt;0,'Nuts2_level analyse'!L31/'Nuts2_level analyse'!H31*100,""))</f>
        <v/>
      </c>
      <c r="H183" s="3" t="str">
        <f>IF(A183="","",'Nuts2_level analyse'!AF31)</f>
        <v/>
      </c>
      <c r="I183" s="3" t="str">
        <f>IF(A183="","",'Nuts2_level analyse'!W31)</f>
        <v/>
      </c>
      <c r="J183" s="3" t="str">
        <f>IF(A183="","",IF('Nuts2_level analyse'!P31&gt;0,'Nuts2_level analyse'!T31/'Nuts2_level analyse'!P31*100,""))</f>
        <v/>
      </c>
      <c r="K183" s="7" t="str">
        <f>IF(A183="","",'Nuts2_level analyse'!AG31)</f>
        <v/>
      </c>
      <c r="L183" s="3" t="str">
        <f>IF(A183="","",'Nuts2_level analyse'!AE31)</f>
        <v/>
      </c>
      <c r="M183" s="3" t="str">
        <f>IF(A183="","",IF('Nuts2_level analyse'!X31&gt;0,'Nuts2_level analyse'!AB31/'Nuts2_level analyse'!X31*100,""))</f>
        <v/>
      </c>
      <c r="N183" s="7" t="str">
        <f>IF(A183="","",'Nuts2_level analyse'!AH31)</f>
        <v/>
      </c>
    </row>
    <row r="184" spans="1:14" x14ac:dyDescent="0.2">
      <c r="A184" s="8" t="str">
        <f>IF(LEN('Nuts2_level analyse'!A32)&gt;5,RIGHT('Nuts2_level analyse'!A32,LEN('Nuts2_level analyse'!A32)-5),"")</f>
        <v/>
      </c>
      <c r="B184" s="6" t="str">
        <f>LEFT('Nuts2_level analyse'!A32,4)</f>
        <v/>
      </c>
      <c r="C184" s="5" t="str">
        <f>IF(A184="","",'Nuts2_level analyse'!C32)</f>
        <v/>
      </c>
      <c r="D184" s="5" t="str">
        <f>IF(A184="","",'Nuts2_level analyse'!F32)</f>
        <v/>
      </c>
      <c r="E184" s="5" t="str">
        <f>IF(A184="","",'Nuts2_level analyse'!D32)</f>
        <v/>
      </c>
      <c r="F184" s="3" t="str">
        <f>IF(A184="","",'Nuts2_level analyse'!O32)</f>
        <v/>
      </c>
      <c r="G184" s="3" t="str">
        <f>IF(A184="","",IF('Nuts2_level analyse'!H32&gt;0,'Nuts2_level analyse'!L32/'Nuts2_level analyse'!H32*100,""))</f>
        <v/>
      </c>
      <c r="H184" s="3" t="str">
        <f>IF(A184="","",'Nuts2_level analyse'!AF32)</f>
        <v/>
      </c>
      <c r="I184" s="3" t="str">
        <f>IF(A184="","",'Nuts2_level analyse'!W32)</f>
        <v/>
      </c>
      <c r="J184" s="3" t="str">
        <f>IF(A184="","",IF('Nuts2_level analyse'!P32&gt;0,'Nuts2_level analyse'!T32/'Nuts2_level analyse'!P32*100,""))</f>
        <v/>
      </c>
      <c r="K184" s="7" t="str">
        <f>IF(A184="","",'Nuts2_level analyse'!AG32)</f>
        <v/>
      </c>
      <c r="L184" s="3" t="str">
        <f>IF(A184="","",'Nuts2_level analyse'!AE32)</f>
        <v/>
      </c>
      <c r="M184" s="3" t="str">
        <f>IF(A184="","",IF('Nuts2_level analyse'!X32&gt;0,'Nuts2_level analyse'!AB32/'Nuts2_level analyse'!X32*100,""))</f>
        <v/>
      </c>
      <c r="N184" s="7" t="str">
        <f>IF(A184="","",'Nuts2_level analyse'!AH32)</f>
        <v/>
      </c>
    </row>
    <row r="185" spans="1:14" x14ac:dyDescent="0.2">
      <c r="A185" s="8" t="str">
        <f>IF(LEN('Nuts2_level analyse'!A33)&gt;5,RIGHT('Nuts2_level analyse'!A33,LEN('Nuts2_level analyse'!A33)-5),"")</f>
        <v/>
      </c>
      <c r="B185" s="6" t="str">
        <f>LEFT('Nuts2_level analyse'!A33,4)</f>
        <v/>
      </c>
      <c r="C185" s="5" t="str">
        <f>IF(A185="","",'Nuts2_level analyse'!C33)</f>
        <v/>
      </c>
      <c r="D185" s="5" t="str">
        <f>IF(A185="","",'Nuts2_level analyse'!F33)</f>
        <v/>
      </c>
      <c r="E185" s="5" t="str">
        <f>IF(A185="","",'Nuts2_level analyse'!D33)</f>
        <v/>
      </c>
      <c r="F185" s="3" t="str">
        <f>IF(A185="","",'Nuts2_level analyse'!O33)</f>
        <v/>
      </c>
      <c r="G185" s="3" t="str">
        <f>IF(A185="","",IF('Nuts2_level analyse'!H33&gt;0,'Nuts2_level analyse'!L33/'Nuts2_level analyse'!H33*100,""))</f>
        <v/>
      </c>
      <c r="H185" s="3" t="str">
        <f>IF(A185="","",'Nuts2_level analyse'!AF33)</f>
        <v/>
      </c>
      <c r="I185" s="3" t="str">
        <f>IF(A185="","",'Nuts2_level analyse'!W33)</f>
        <v/>
      </c>
      <c r="J185" s="3" t="str">
        <f>IF(A185="","",IF('Nuts2_level analyse'!P33&gt;0,'Nuts2_level analyse'!T33/'Nuts2_level analyse'!P33*100,""))</f>
        <v/>
      </c>
      <c r="K185" s="7" t="str">
        <f>IF(A185="","",'Nuts2_level analyse'!AG33)</f>
        <v/>
      </c>
      <c r="L185" s="3" t="str">
        <f>IF(A185="","",'Nuts2_level analyse'!AE33)</f>
        <v/>
      </c>
      <c r="M185" s="3" t="str">
        <f>IF(A185="","",IF('Nuts2_level analyse'!X33&gt;0,'Nuts2_level analyse'!AB33/'Nuts2_level analyse'!X33*100,""))</f>
        <v/>
      </c>
      <c r="N185" s="7" t="str">
        <f>IF(A185="","",'Nuts2_level analyse'!AH33)</f>
        <v/>
      </c>
    </row>
    <row r="186" spans="1:14" x14ac:dyDescent="0.2">
      <c r="A186" s="8" t="str">
        <f>IF(LEN('Nuts2_level analyse'!A34)&gt;5,RIGHT('Nuts2_level analyse'!A34,LEN('Nuts2_level analyse'!A34)-5),"")</f>
        <v/>
      </c>
      <c r="B186" s="6" t="str">
        <f>LEFT('Nuts2_level analyse'!A34,4)</f>
        <v/>
      </c>
      <c r="C186" s="5" t="str">
        <f>IF(A186="","",'Nuts2_level analyse'!C34)</f>
        <v/>
      </c>
      <c r="D186" s="5" t="str">
        <f>IF(A186="","",'Nuts2_level analyse'!F34)</f>
        <v/>
      </c>
      <c r="E186" s="5" t="str">
        <f>IF(A186="","",'Nuts2_level analyse'!D34)</f>
        <v/>
      </c>
      <c r="F186" s="3" t="str">
        <f>IF(A186="","",'Nuts2_level analyse'!O34)</f>
        <v/>
      </c>
      <c r="G186" s="3" t="str">
        <f>IF(A186="","",IF('Nuts2_level analyse'!H34&gt;0,'Nuts2_level analyse'!L34/'Nuts2_level analyse'!H34*100,""))</f>
        <v/>
      </c>
      <c r="H186" s="3" t="str">
        <f>IF(A186="","",'Nuts2_level analyse'!AF34)</f>
        <v/>
      </c>
      <c r="I186" s="3" t="str">
        <f>IF(A186="","",'Nuts2_level analyse'!W34)</f>
        <v/>
      </c>
      <c r="J186" s="3" t="str">
        <f>IF(A186="","",IF('Nuts2_level analyse'!P34&gt;0,'Nuts2_level analyse'!T34/'Nuts2_level analyse'!P34*100,""))</f>
        <v/>
      </c>
      <c r="K186" s="7" t="str">
        <f>IF(A186="","",'Nuts2_level analyse'!AG34)</f>
        <v/>
      </c>
      <c r="L186" s="3" t="str">
        <f>IF(A186="","",'Nuts2_level analyse'!AE34)</f>
        <v/>
      </c>
      <c r="M186" s="3" t="str">
        <f>IF(A186="","",IF('Nuts2_level analyse'!X34&gt;0,'Nuts2_level analyse'!AB34/'Nuts2_level analyse'!X34*100,""))</f>
        <v/>
      </c>
      <c r="N186" s="7" t="str">
        <f>IF(A186="","",'Nuts2_level analyse'!AH34)</f>
        <v/>
      </c>
    </row>
    <row r="187" spans="1:14" x14ac:dyDescent="0.2">
      <c r="A187" s="8" t="str">
        <f>IF(LEN('Nuts2_level analyse'!A35)&gt;5,RIGHT('Nuts2_level analyse'!A35,LEN('Nuts2_level analyse'!A35)-5),"")</f>
        <v/>
      </c>
      <c r="B187" s="6" t="str">
        <f>LEFT('Nuts2_level analyse'!A35,4)</f>
        <v/>
      </c>
      <c r="C187" s="5" t="str">
        <f>IF(A187="","",'Nuts2_level analyse'!C35)</f>
        <v/>
      </c>
      <c r="D187" s="5" t="str">
        <f>IF(A187="","",'Nuts2_level analyse'!F35)</f>
        <v/>
      </c>
      <c r="E187" s="5" t="str">
        <f>IF(A187="","",'Nuts2_level analyse'!D35)</f>
        <v/>
      </c>
      <c r="F187" s="3" t="str">
        <f>IF(A187="","",'Nuts2_level analyse'!O35)</f>
        <v/>
      </c>
      <c r="G187" s="3" t="str">
        <f>IF(A187="","",IF('Nuts2_level analyse'!H35&gt;0,'Nuts2_level analyse'!L35/'Nuts2_level analyse'!H35*100,""))</f>
        <v/>
      </c>
      <c r="H187" s="3" t="str">
        <f>IF(A187="","",'Nuts2_level analyse'!AF35)</f>
        <v/>
      </c>
      <c r="I187" s="3" t="str">
        <f>IF(A187="","",'Nuts2_level analyse'!W35)</f>
        <v/>
      </c>
      <c r="J187" s="3" t="str">
        <f>IF(A187="","",IF('Nuts2_level analyse'!P35&gt;0,'Nuts2_level analyse'!T35/'Nuts2_level analyse'!P35*100,""))</f>
        <v/>
      </c>
      <c r="K187" s="7" t="str">
        <f>IF(A187="","",'Nuts2_level analyse'!AG35)</f>
        <v/>
      </c>
      <c r="L187" s="3" t="str">
        <f>IF(A187="","",'Nuts2_level analyse'!AE35)</f>
        <v/>
      </c>
      <c r="M187" s="3" t="str">
        <f>IF(A187="","",IF('Nuts2_level analyse'!X35&gt;0,'Nuts2_level analyse'!AB35/'Nuts2_level analyse'!X35*100,""))</f>
        <v/>
      </c>
      <c r="N187" s="7" t="str">
        <f>IF(A187="","",'Nuts2_level analyse'!AH35)</f>
        <v/>
      </c>
    </row>
    <row r="188" spans="1:14" x14ac:dyDescent="0.2">
      <c r="A188" s="8" t="str">
        <f>IF(LEN('Nuts2_level analyse'!A36)&gt;5,RIGHT('Nuts2_level analyse'!A36,LEN('Nuts2_level analyse'!A36)-5),"")</f>
        <v/>
      </c>
      <c r="B188" s="6" t="str">
        <f>LEFT('Nuts2_level analyse'!A36,4)</f>
        <v/>
      </c>
      <c r="C188" s="5" t="str">
        <f>IF(A188="","",'Nuts2_level analyse'!C36)</f>
        <v/>
      </c>
      <c r="D188" s="5" t="str">
        <f>IF(A188="","",'Nuts2_level analyse'!F36)</f>
        <v/>
      </c>
      <c r="E188" s="5" t="str">
        <f>IF(A188="","",'Nuts2_level analyse'!D36)</f>
        <v/>
      </c>
      <c r="F188" s="3" t="str">
        <f>IF(A188="","",'Nuts2_level analyse'!O36)</f>
        <v/>
      </c>
      <c r="G188" s="3" t="str">
        <f>IF(A188="","",IF('Nuts2_level analyse'!H36&gt;0,'Nuts2_level analyse'!L36/'Nuts2_level analyse'!H36*100,""))</f>
        <v/>
      </c>
      <c r="H188" s="3" t="str">
        <f>IF(A188="","",'Nuts2_level analyse'!AF36)</f>
        <v/>
      </c>
      <c r="I188" s="3" t="str">
        <f>IF(A188="","",'Nuts2_level analyse'!W36)</f>
        <v/>
      </c>
      <c r="J188" s="3" t="str">
        <f>IF(A188="","",IF('Nuts2_level analyse'!P36&gt;0,'Nuts2_level analyse'!T36/'Nuts2_level analyse'!P36*100,""))</f>
        <v/>
      </c>
      <c r="K188" s="7" t="str">
        <f>IF(A188="","",'Nuts2_level analyse'!AG36)</f>
        <v/>
      </c>
      <c r="L188" s="3" t="str">
        <f>IF(A188="","",'Nuts2_level analyse'!AE36)</f>
        <v/>
      </c>
      <c r="M188" s="3" t="str">
        <f>IF(A188="","",IF('Nuts2_level analyse'!X36&gt;0,'Nuts2_level analyse'!AB36/'Nuts2_level analyse'!X36*100,""))</f>
        <v/>
      </c>
      <c r="N188" s="7" t="str">
        <f>IF(A188="","",'Nuts2_level analyse'!AH36)</f>
        <v/>
      </c>
    </row>
    <row r="189" spans="1:14" x14ac:dyDescent="0.2">
      <c r="A189" s="8" t="str">
        <f>IF(LEN('Nuts2_level analyse'!A37)&gt;5,RIGHT('Nuts2_level analyse'!A37,LEN('Nuts2_level analyse'!A37)-5),"")</f>
        <v/>
      </c>
      <c r="B189" s="6" t="str">
        <f>LEFT('Nuts2_level analyse'!A37,4)</f>
        <v/>
      </c>
      <c r="C189" s="5" t="str">
        <f>IF(A189="","",'Nuts2_level analyse'!C37)</f>
        <v/>
      </c>
      <c r="D189" s="5" t="str">
        <f>IF(A189="","",'Nuts2_level analyse'!F37)</f>
        <v/>
      </c>
      <c r="E189" s="5" t="str">
        <f>IF(A189="","",'Nuts2_level analyse'!D37)</f>
        <v/>
      </c>
      <c r="F189" s="3" t="str">
        <f>IF(A189="","",'Nuts2_level analyse'!O37)</f>
        <v/>
      </c>
      <c r="G189" s="3" t="str">
        <f>IF(A189="","",IF('Nuts2_level analyse'!H37&gt;0,'Nuts2_level analyse'!L37/'Nuts2_level analyse'!H37*100,""))</f>
        <v/>
      </c>
      <c r="H189" s="3" t="str">
        <f>IF(A189="","",'Nuts2_level analyse'!AF37)</f>
        <v/>
      </c>
      <c r="I189" s="3" t="str">
        <f>IF(A189="","",'Nuts2_level analyse'!W37)</f>
        <v/>
      </c>
      <c r="J189" s="3" t="str">
        <f>IF(A189="","",IF('Nuts2_level analyse'!P37&gt;0,'Nuts2_level analyse'!T37/'Nuts2_level analyse'!P37*100,""))</f>
        <v/>
      </c>
      <c r="K189" s="7" t="str">
        <f>IF(A189="","",'Nuts2_level analyse'!AG37)</f>
        <v/>
      </c>
      <c r="L189" s="3" t="str">
        <f>IF(A189="","",'Nuts2_level analyse'!AE37)</f>
        <v/>
      </c>
      <c r="M189" s="3" t="str">
        <f>IF(A189="","",IF('Nuts2_level analyse'!X37&gt;0,'Nuts2_level analyse'!AB37/'Nuts2_level analyse'!X37*100,""))</f>
        <v/>
      </c>
      <c r="N189" s="7" t="str">
        <f>IF(A189="","",'Nuts2_level analyse'!AH37)</f>
        <v/>
      </c>
    </row>
    <row r="190" spans="1:14" x14ac:dyDescent="0.2">
      <c r="A190" s="8" t="str">
        <f>IF(LEN('Nuts2_level analyse'!A38)&gt;5,RIGHT('Nuts2_level analyse'!A38,LEN('Nuts2_level analyse'!A38)-5),"")</f>
        <v/>
      </c>
      <c r="B190" s="6" t="str">
        <f>LEFT('Nuts2_level analyse'!A38,4)</f>
        <v/>
      </c>
      <c r="C190" s="5" t="str">
        <f>IF(A190="","",'Nuts2_level analyse'!C38)</f>
        <v/>
      </c>
      <c r="D190" s="5" t="str">
        <f>IF(A190="","",'Nuts2_level analyse'!F38)</f>
        <v/>
      </c>
      <c r="E190" s="5" t="str">
        <f>IF(A190="","",'Nuts2_level analyse'!D38)</f>
        <v/>
      </c>
      <c r="F190" s="3" t="str">
        <f>IF(A190="","",'Nuts2_level analyse'!O38)</f>
        <v/>
      </c>
      <c r="G190" s="3" t="str">
        <f>IF(A190="","",IF('Nuts2_level analyse'!H38&gt;0,'Nuts2_level analyse'!L38/'Nuts2_level analyse'!H38*100,""))</f>
        <v/>
      </c>
      <c r="H190" s="3" t="str">
        <f>IF(A190="","",'Nuts2_level analyse'!AF38)</f>
        <v/>
      </c>
      <c r="I190" s="3" t="str">
        <f>IF(A190="","",'Nuts2_level analyse'!W38)</f>
        <v/>
      </c>
      <c r="J190" s="3" t="str">
        <f>IF(A190="","",IF('Nuts2_level analyse'!P38&gt;0,'Nuts2_level analyse'!T38/'Nuts2_level analyse'!P38*100,""))</f>
        <v/>
      </c>
      <c r="K190" s="7" t="str">
        <f>IF(A190="","",'Nuts2_level analyse'!AG38)</f>
        <v/>
      </c>
      <c r="L190" s="3" t="str">
        <f>IF(A190="","",'Nuts2_level analyse'!AE38)</f>
        <v/>
      </c>
      <c r="M190" s="3" t="str">
        <f>IF(A190="","",IF('Nuts2_level analyse'!X38&gt;0,'Nuts2_level analyse'!AB38/'Nuts2_level analyse'!X38*100,""))</f>
        <v/>
      </c>
      <c r="N190" s="7" t="str">
        <f>IF(A190="","",'Nuts2_level analyse'!AH38)</f>
        <v/>
      </c>
    </row>
    <row r="191" spans="1:14" x14ac:dyDescent="0.2">
      <c r="A191" s="8" t="str">
        <f>IF(LEN('Nuts2_level analyse'!A39)&gt;5,RIGHT('Nuts2_level analyse'!A39,LEN('Nuts2_level analyse'!A39)-5),"")</f>
        <v/>
      </c>
      <c r="B191" s="6" t="str">
        <f>LEFT('Nuts2_level analyse'!A39,4)</f>
        <v/>
      </c>
      <c r="C191" s="5" t="str">
        <f>IF(A191="","",'Nuts2_level analyse'!C39)</f>
        <v/>
      </c>
      <c r="D191" s="5" t="str">
        <f>IF(A191="","",'Nuts2_level analyse'!F39)</f>
        <v/>
      </c>
      <c r="E191" s="5" t="str">
        <f>IF(A191="","",'Nuts2_level analyse'!D39)</f>
        <v/>
      </c>
      <c r="F191" s="3" t="str">
        <f>IF(A191="","",'Nuts2_level analyse'!O39)</f>
        <v/>
      </c>
      <c r="G191" s="3" t="str">
        <f>IF(A191="","",IF('Nuts2_level analyse'!H39&gt;0,'Nuts2_level analyse'!L39/'Nuts2_level analyse'!H39*100,""))</f>
        <v/>
      </c>
      <c r="H191" s="3" t="str">
        <f>IF(A191="","",'Nuts2_level analyse'!AF39)</f>
        <v/>
      </c>
      <c r="I191" s="3" t="str">
        <f>IF(A191="","",'Nuts2_level analyse'!W39)</f>
        <v/>
      </c>
      <c r="J191" s="3" t="str">
        <f>IF(A191="","",IF('Nuts2_level analyse'!P39&gt;0,'Nuts2_level analyse'!T39/'Nuts2_level analyse'!P39*100,""))</f>
        <v/>
      </c>
      <c r="K191" s="7" t="str">
        <f>IF(A191="","",'Nuts2_level analyse'!AG39)</f>
        <v/>
      </c>
      <c r="L191" s="3" t="str">
        <f>IF(A191="","",'Nuts2_level analyse'!AE39)</f>
        <v/>
      </c>
      <c r="M191" s="3" t="str">
        <f>IF(A191="","",IF('Nuts2_level analyse'!X39&gt;0,'Nuts2_level analyse'!AB39/'Nuts2_level analyse'!X39*100,""))</f>
        <v/>
      </c>
      <c r="N191" s="7" t="str">
        <f>IF(A191="","",'Nuts2_level analyse'!AH39)</f>
        <v/>
      </c>
    </row>
    <row r="192" spans="1:14" x14ac:dyDescent="0.2">
      <c r="A192" s="8" t="str">
        <f>IF(LEN('Nuts2_level analyse'!A40)&gt;5,RIGHT('Nuts2_level analyse'!A40,LEN('Nuts2_level analyse'!A40)-5),"")</f>
        <v/>
      </c>
      <c r="B192" s="6" t="str">
        <f>LEFT('Nuts2_level analyse'!A40,4)</f>
        <v/>
      </c>
      <c r="C192" s="5" t="str">
        <f>IF(A192="","",'Nuts2_level analyse'!C40)</f>
        <v/>
      </c>
      <c r="D192" s="5" t="str">
        <f>IF(A192="","",'Nuts2_level analyse'!F40)</f>
        <v/>
      </c>
      <c r="E192" s="5" t="str">
        <f>IF(A192="","",'Nuts2_level analyse'!D40)</f>
        <v/>
      </c>
      <c r="F192" s="3" t="str">
        <f>IF(A192="","",'Nuts2_level analyse'!O40)</f>
        <v/>
      </c>
      <c r="G192" s="3" t="str">
        <f>IF(A192="","",IF('Nuts2_level analyse'!H40&gt;0,'Nuts2_level analyse'!L40/'Nuts2_level analyse'!H40*100,""))</f>
        <v/>
      </c>
      <c r="H192" s="3" t="str">
        <f>IF(A192="","",'Nuts2_level analyse'!AF40)</f>
        <v/>
      </c>
      <c r="I192" s="3" t="str">
        <f>IF(A192="","",'Nuts2_level analyse'!W40)</f>
        <v/>
      </c>
      <c r="J192" s="3" t="str">
        <f>IF(A192="","",IF('Nuts2_level analyse'!P40&gt;0,'Nuts2_level analyse'!T40/'Nuts2_level analyse'!P40*100,""))</f>
        <v/>
      </c>
      <c r="K192" s="7" t="str">
        <f>IF(A192="","",'Nuts2_level analyse'!AG40)</f>
        <v/>
      </c>
      <c r="L192" s="3" t="str">
        <f>IF(A192="","",'Nuts2_level analyse'!AE40)</f>
        <v/>
      </c>
      <c r="M192" s="3" t="str">
        <f>IF(A192="","",IF('Nuts2_level analyse'!X40&gt;0,'Nuts2_level analyse'!AB40/'Nuts2_level analyse'!X40*100,""))</f>
        <v/>
      </c>
      <c r="N192" s="7" t="str">
        <f>IF(A192="","",'Nuts2_level analyse'!AH40)</f>
        <v/>
      </c>
    </row>
    <row r="193" spans="1:14" x14ac:dyDescent="0.2">
      <c r="A193" s="8" t="str">
        <f>IF(LEN('Nuts2_level analyse'!A41)&gt;5,RIGHT('Nuts2_level analyse'!A41,LEN('Nuts2_level analyse'!A41)-5),"")</f>
        <v/>
      </c>
      <c r="B193" s="6" t="str">
        <f>LEFT('Nuts2_level analyse'!A41,4)</f>
        <v/>
      </c>
      <c r="C193" s="5" t="str">
        <f>IF(A193="","",'Nuts2_level analyse'!C41)</f>
        <v/>
      </c>
      <c r="D193" s="5" t="str">
        <f>IF(A193="","",'Nuts2_level analyse'!F41)</f>
        <v/>
      </c>
      <c r="E193" s="5" t="str">
        <f>IF(A193="","",'Nuts2_level analyse'!D41)</f>
        <v/>
      </c>
      <c r="F193" s="3" t="str">
        <f>IF(A193="","",'Nuts2_level analyse'!O41)</f>
        <v/>
      </c>
      <c r="G193" s="3" t="str">
        <f>IF(A193="","",IF('Nuts2_level analyse'!H41&gt;0,'Nuts2_level analyse'!L41/'Nuts2_level analyse'!H41*100,""))</f>
        <v/>
      </c>
      <c r="H193" s="3" t="str">
        <f>IF(A193="","",'Nuts2_level analyse'!AF41)</f>
        <v/>
      </c>
      <c r="I193" s="3" t="str">
        <f>IF(A193="","",'Nuts2_level analyse'!W41)</f>
        <v/>
      </c>
      <c r="J193" s="3" t="str">
        <f>IF(A193="","",IF('Nuts2_level analyse'!P41&gt;0,'Nuts2_level analyse'!T41/'Nuts2_level analyse'!P41*100,""))</f>
        <v/>
      </c>
      <c r="K193" s="7" t="str">
        <f>IF(A193="","",'Nuts2_level analyse'!AG41)</f>
        <v/>
      </c>
      <c r="L193" s="3" t="str">
        <f>IF(A193="","",'Nuts2_level analyse'!AE41)</f>
        <v/>
      </c>
      <c r="M193" s="3" t="str">
        <f>IF(A193="","",IF('Nuts2_level analyse'!X41&gt;0,'Nuts2_level analyse'!AB41/'Nuts2_level analyse'!X41*100,""))</f>
        <v/>
      </c>
      <c r="N193" s="7" t="str">
        <f>IF(A193="","",'Nuts2_level analyse'!AH41)</f>
        <v/>
      </c>
    </row>
    <row r="194" spans="1:14" x14ac:dyDescent="0.2">
      <c r="A194" s="8" t="str">
        <f>IF(LEN('Nuts2_level analyse'!A42)&gt;5,RIGHT('Nuts2_level analyse'!A42,LEN('Nuts2_level analyse'!A42)-5),"")</f>
        <v/>
      </c>
      <c r="B194" s="6" t="str">
        <f>LEFT('Nuts2_level analyse'!A42,4)</f>
        <v/>
      </c>
      <c r="C194" s="5" t="str">
        <f>IF(A194="","",'Nuts2_level analyse'!C42)</f>
        <v/>
      </c>
      <c r="D194" s="5" t="str">
        <f>IF(A194="","",'Nuts2_level analyse'!F42)</f>
        <v/>
      </c>
      <c r="E194" s="5" t="str">
        <f>IF(A194="","",'Nuts2_level analyse'!D42)</f>
        <v/>
      </c>
      <c r="F194" s="3" t="str">
        <f>IF(A194="","",'Nuts2_level analyse'!O42)</f>
        <v/>
      </c>
      <c r="G194" s="3" t="str">
        <f>IF(A194="","",IF('Nuts2_level analyse'!H42&gt;0,'Nuts2_level analyse'!L42/'Nuts2_level analyse'!H42*100,""))</f>
        <v/>
      </c>
      <c r="H194" s="3" t="str">
        <f>IF(A194="","",'Nuts2_level analyse'!AF42)</f>
        <v/>
      </c>
      <c r="I194" s="3" t="str">
        <f>IF(A194="","",'Nuts2_level analyse'!W42)</f>
        <v/>
      </c>
      <c r="J194" s="3" t="str">
        <f>IF(A194="","",IF('Nuts2_level analyse'!P42&gt;0,'Nuts2_level analyse'!T42/'Nuts2_level analyse'!P42*100,""))</f>
        <v/>
      </c>
      <c r="K194" s="7" t="str">
        <f>IF(A194="","",'Nuts2_level analyse'!AG42)</f>
        <v/>
      </c>
      <c r="L194" s="3" t="str">
        <f>IF(A194="","",'Nuts2_level analyse'!AE42)</f>
        <v/>
      </c>
      <c r="M194" s="3" t="str">
        <f>IF(A194="","",IF('Nuts2_level analyse'!X42&gt;0,'Nuts2_level analyse'!AB42/'Nuts2_level analyse'!X42*100,""))</f>
        <v/>
      </c>
      <c r="N194" s="7" t="str">
        <f>IF(A194="","",'Nuts2_level analyse'!AH42)</f>
        <v/>
      </c>
    </row>
    <row r="195" spans="1:14" x14ac:dyDescent="0.2">
      <c r="A195" s="8" t="str">
        <f>IF(LEN('Nuts2_level analyse'!A43)&gt;5,RIGHT('Nuts2_level analyse'!A43,LEN('Nuts2_level analyse'!A43)-5),"")</f>
        <v/>
      </c>
      <c r="B195" s="6" t="str">
        <f>LEFT('Nuts2_level analyse'!A43,4)</f>
        <v/>
      </c>
      <c r="C195" s="5" t="str">
        <f>IF(A195="","",'Nuts2_level analyse'!C43)</f>
        <v/>
      </c>
      <c r="D195" s="5" t="str">
        <f>IF(A195="","",'Nuts2_level analyse'!F43)</f>
        <v/>
      </c>
      <c r="E195" s="5" t="str">
        <f>IF(A195="","",'Nuts2_level analyse'!D43)</f>
        <v/>
      </c>
      <c r="F195" s="3" t="str">
        <f>IF(A195="","",'Nuts2_level analyse'!O43)</f>
        <v/>
      </c>
      <c r="G195" s="3" t="str">
        <f>IF(A195="","",IF('Nuts2_level analyse'!H43&gt;0,'Nuts2_level analyse'!L43/'Nuts2_level analyse'!H43*100,""))</f>
        <v/>
      </c>
      <c r="H195" s="3" t="str">
        <f>IF(A195="","",'Nuts2_level analyse'!AF43)</f>
        <v/>
      </c>
      <c r="I195" s="3" t="str">
        <f>IF(A195="","",'Nuts2_level analyse'!W43)</f>
        <v/>
      </c>
      <c r="J195" s="3" t="str">
        <f>IF(A195="","",IF('Nuts2_level analyse'!P43&gt;0,'Nuts2_level analyse'!T43/'Nuts2_level analyse'!P43*100,""))</f>
        <v/>
      </c>
      <c r="K195" s="7" t="str">
        <f>IF(A195="","",'Nuts2_level analyse'!AG43)</f>
        <v/>
      </c>
      <c r="L195" s="3" t="str">
        <f>IF(A195="","",'Nuts2_level analyse'!AE43)</f>
        <v/>
      </c>
      <c r="M195" s="3" t="str">
        <f>IF(A195="","",IF('Nuts2_level analyse'!X43&gt;0,'Nuts2_level analyse'!AB43/'Nuts2_level analyse'!X43*100,""))</f>
        <v/>
      </c>
      <c r="N195" s="7" t="str">
        <f>IF(A195="","",'Nuts2_level analyse'!AH43)</f>
        <v/>
      </c>
    </row>
    <row r="196" spans="1:14" x14ac:dyDescent="0.2">
      <c r="A196" s="8" t="str">
        <f>IF(LEN('Nuts2_level analyse'!A44)&gt;5,RIGHT('Nuts2_level analyse'!A44,LEN('Nuts2_level analyse'!A44)-5),"")</f>
        <v/>
      </c>
      <c r="B196" s="6" t="str">
        <f>LEFT('Nuts2_level analyse'!A44,4)</f>
        <v/>
      </c>
      <c r="C196" s="5" t="str">
        <f>IF(A196="","",'Nuts2_level analyse'!C44)</f>
        <v/>
      </c>
      <c r="D196" s="5" t="str">
        <f>IF(A196="","",'Nuts2_level analyse'!F44)</f>
        <v/>
      </c>
      <c r="E196" s="5" t="str">
        <f>IF(A196="","",'Nuts2_level analyse'!D44)</f>
        <v/>
      </c>
      <c r="F196" s="3" t="str">
        <f>IF(A196="","",'Nuts2_level analyse'!O44)</f>
        <v/>
      </c>
      <c r="G196" s="3" t="str">
        <f>IF(A196="","",IF('Nuts2_level analyse'!H44&gt;0,'Nuts2_level analyse'!L44/'Nuts2_level analyse'!H44*100,""))</f>
        <v/>
      </c>
      <c r="H196" s="3" t="str">
        <f>IF(A196="","",'Nuts2_level analyse'!AF44)</f>
        <v/>
      </c>
      <c r="I196" s="3" t="str">
        <f>IF(A196="","",'Nuts2_level analyse'!W44)</f>
        <v/>
      </c>
      <c r="J196" s="3" t="str">
        <f>IF(A196="","",IF('Nuts2_level analyse'!P44&gt;0,'Nuts2_level analyse'!T44/'Nuts2_level analyse'!P44*100,""))</f>
        <v/>
      </c>
      <c r="K196" s="7" t="str">
        <f>IF(A196="","",'Nuts2_level analyse'!AG44)</f>
        <v/>
      </c>
      <c r="L196" s="3" t="str">
        <f>IF(A196="","",'Nuts2_level analyse'!AE44)</f>
        <v/>
      </c>
      <c r="M196" s="3" t="str">
        <f>IF(A196="","",IF('Nuts2_level analyse'!X44&gt;0,'Nuts2_level analyse'!AB44/'Nuts2_level analyse'!X44*100,""))</f>
        <v/>
      </c>
      <c r="N196" s="7" t="str">
        <f>IF(A196="","",'Nuts2_level analyse'!AH44)</f>
        <v/>
      </c>
    </row>
    <row r="197" spans="1:14" x14ac:dyDescent="0.2">
      <c r="A197" s="8" t="str">
        <f>IF(LEN('Nuts2_level analyse'!A45)&gt;5,RIGHT('Nuts2_level analyse'!A45,LEN('Nuts2_level analyse'!A45)-5),"")</f>
        <v/>
      </c>
      <c r="B197" s="6" t="str">
        <f>LEFT('Nuts2_level analyse'!A45,4)</f>
        <v/>
      </c>
      <c r="C197" s="5" t="str">
        <f>IF(A197="","",'Nuts2_level analyse'!C45)</f>
        <v/>
      </c>
      <c r="D197" s="5" t="str">
        <f>IF(A197="","",'Nuts2_level analyse'!F45)</f>
        <v/>
      </c>
      <c r="E197" s="5" t="str">
        <f>IF(A197="","",'Nuts2_level analyse'!D45)</f>
        <v/>
      </c>
      <c r="F197" s="3" t="str">
        <f>IF(A197="","",'Nuts2_level analyse'!O45)</f>
        <v/>
      </c>
      <c r="G197" s="3" t="str">
        <f>IF(A197="","",IF('Nuts2_level analyse'!H45&gt;0,'Nuts2_level analyse'!L45/'Nuts2_level analyse'!H45*100,""))</f>
        <v/>
      </c>
      <c r="H197" s="3" t="str">
        <f>IF(A197="","",'Nuts2_level analyse'!AF45)</f>
        <v/>
      </c>
      <c r="I197" s="3" t="str">
        <f>IF(A197="","",'Nuts2_level analyse'!W45)</f>
        <v/>
      </c>
      <c r="J197" s="3" t="str">
        <f>IF(A197="","",IF('Nuts2_level analyse'!P45&gt;0,'Nuts2_level analyse'!T45/'Nuts2_level analyse'!P45*100,""))</f>
        <v/>
      </c>
      <c r="K197" s="7" t="str">
        <f>IF(A197="","",'Nuts2_level analyse'!AG45)</f>
        <v/>
      </c>
      <c r="L197" s="3" t="str">
        <f>IF(A197="","",'Nuts2_level analyse'!AE45)</f>
        <v/>
      </c>
      <c r="M197" s="3" t="str">
        <f>IF(A197="","",IF('Nuts2_level analyse'!X45&gt;0,'Nuts2_level analyse'!AB45/'Nuts2_level analyse'!X45*100,""))</f>
        <v/>
      </c>
      <c r="N197" s="7" t="str">
        <f>IF(A197="","",'Nuts2_level analyse'!AH45)</f>
        <v/>
      </c>
    </row>
    <row r="198" spans="1:14" x14ac:dyDescent="0.2">
      <c r="A198" s="8" t="str">
        <f>IF(LEN('Nuts2_level analyse'!A46)&gt;5,RIGHT('Nuts2_level analyse'!A46,LEN('Nuts2_level analyse'!A46)-5),"")</f>
        <v/>
      </c>
      <c r="B198" s="6" t="str">
        <f>LEFT('Nuts2_level analyse'!A46,4)</f>
        <v/>
      </c>
      <c r="C198" s="5" t="str">
        <f>IF(A198="","",'Nuts2_level analyse'!C46)</f>
        <v/>
      </c>
      <c r="D198" s="5" t="str">
        <f>IF(A198="","",'Nuts2_level analyse'!F46)</f>
        <v/>
      </c>
      <c r="E198" s="5" t="str">
        <f>IF(A198="","",'Nuts2_level analyse'!D46)</f>
        <v/>
      </c>
      <c r="F198" s="3" t="str">
        <f>IF(A198="","",'Nuts2_level analyse'!O46)</f>
        <v/>
      </c>
      <c r="G198" s="3" t="str">
        <f>IF(A198="","",IF('Nuts2_level analyse'!H46&gt;0,'Nuts2_level analyse'!L46/'Nuts2_level analyse'!H46*100,""))</f>
        <v/>
      </c>
      <c r="H198" s="3" t="str">
        <f>IF(A198="","",'Nuts2_level analyse'!AF46)</f>
        <v/>
      </c>
      <c r="I198" s="3" t="str">
        <f>IF(A198="","",'Nuts2_level analyse'!W46)</f>
        <v/>
      </c>
      <c r="J198" s="3" t="str">
        <f>IF(A198="","",IF('Nuts2_level analyse'!P46&gt;0,'Nuts2_level analyse'!T46/'Nuts2_level analyse'!P46*100,""))</f>
        <v/>
      </c>
      <c r="K198" s="7" t="str">
        <f>IF(A198="","",'Nuts2_level analyse'!AG46)</f>
        <v/>
      </c>
      <c r="L198" s="3" t="str">
        <f>IF(A198="","",'Nuts2_level analyse'!AE46)</f>
        <v/>
      </c>
      <c r="M198" s="3" t="str">
        <f>IF(A198="","",IF('Nuts2_level analyse'!X46&gt;0,'Nuts2_level analyse'!AB46/'Nuts2_level analyse'!X46*100,""))</f>
        <v/>
      </c>
      <c r="N198" s="7" t="str">
        <f>IF(A198="","",'Nuts2_level analyse'!AH46)</f>
        <v/>
      </c>
    </row>
    <row r="199" spans="1:14" x14ac:dyDescent="0.2">
      <c r="A199" s="8" t="str">
        <f>IF(LEN('Nuts2_level analyse'!A47)&gt;5,RIGHT('Nuts2_level analyse'!A47,LEN('Nuts2_level analyse'!A47)-5),"")</f>
        <v/>
      </c>
      <c r="B199" s="6" t="str">
        <f>LEFT('Nuts2_level analyse'!A47,4)</f>
        <v/>
      </c>
      <c r="C199" s="5" t="str">
        <f>IF(A199="","",'Nuts2_level analyse'!C47)</f>
        <v/>
      </c>
      <c r="D199" s="5" t="str">
        <f>IF(A199="","",'Nuts2_level analyse'!F47)</f>
        <v/>
      </c>
      <c r="E199" s="5" t="str">
        <f>IF(A199="","",'Nuts2_level analyse'!D47)</f>
        <v/>
      </c>
      <c r="F199" s="3" t="str">
        <f>IF(A199="","",'Nuts2_level analyse'!O47)</f>
        <v/>
      </c>
      <c r="G199" s="3" t="str">
        <f>IF(A199="","",IF('Nuts2_level analyse'!H47&gt;0,'Nuts2_level analyse'!L47/'Nuts2_level analyse'!H47*100,""))</f>
        <v/>
      </c>
      <c r="H199" s="3" t="str">
        <f>IF(A199="","",'Nuts2_level analyse'!AF47)</f>
        <v/>
      </c>
      <c r="I199" s="3" t="str">
        <f>IF(A199="","",'Nuts2_level analyse'!W47)</f>
        <v/>
      </c>
      <c r="J199" s="3" t="str">
        <f>IF(A199="","",IF('Nuts2_level analyse'!P47&gt;0,'Nuts2_level analyse'!T47/'Nuts2_level analyse'!P47*100,""))</f>
        <v/>
      </c>
      <c r="K199" s="7" t="str">
        <f>IF(A199="","",'Nuts2_level analyse'!AG47)</f>
        <v/>
      </c>
      <c r="L199" s="3" t="str">
        <f>IF(A199="","",'Nuts2_level analyse'!AE47)</f>
        <v/>
      </c>
      <c r="M199" s="3" t="str">
        <f>IF(A199="","",IF('Nuts2_level analyse'!X47&gt;0,'Nuts2_level analyse'!AB47/'Nuts2_level analyse'!X47*100,""))</f>
        <v/>
      </c>
      <c r="N199" s="7" t="str">
        <f>IF(A199="","",'Nuts2_level analyse'!AH47)</f>
        <v/>
      </c>
    </row>
    <row r="200" spans="1:14" x14ac:dyDescent="0.2">
      <c r="A200" s="8" t="str">
        <f>IF(LEN('Nuts2_level analyse'!A48)&gt;5,RIGHT('Nuts2_level analyse'!A48,LEN('Nuts2_level analyse'!A48)-5),"")</f>
        <v/>
      </c>
      <c r="B200" s="6" t="str">
        <f>LEFT('Nuts2_level analyse'!A48,4)</f>
        <v/>
      </c>
      <c r="C200" s="5" t="str">
        <f>IF(A200="","",'Nuts2_level analyse'!C48)</f>
        <v/>
      </c>
      <c r="D200" s="5" t="str">
        <f>IF(A200="","",'Nuts2_level analyse'!F48)</f>
        <v/>
      </c>
      <c r="E200" s="5" t="str">
        <f>IF(A200="","",'Nuts2_level analyse'!D48)</f>
        <v/>
      </c>
      <c r="F200" s="3" t="str">
        <f>IF(A200="","",'Nuts2_level analyse'!O48)</f>
        <v/>
      </c>
      <c r="G200" s="3" t="str">
        <f>IF(A200="","",IF('Nuts2_level analyse'!H48&gt;0,'Nuts2_level analyse'!L48/'Nuts2_level analyse'!H48*100,""))</f>
        <v/>
      </c>
      <c r="H200" s="3" t="str">
        <f>IF(A200="","",'Nuts2_level analyse'!AF48)</f>
        <v/>
      </c>
      <c r="I200" s="3" t="str">
        <f>IF(A200="","",'Nuts2_level analyse'!W48)</f>
        <v/>
      </c>
      <c r="J200" s="3" t="str">
        <f>IF(A200="","",IF('Nuts2_level analyse'!P48&gt;0,'Nuts2_level analyse'!T48/'Nuts2_level analyse'!P48*100,""))</f>
        <v/>
      </c>
      <c r="K200" s="7" t="str">
        <f>IF(A200="","",'Nuts2_level analyse'!AG48)</f>
        <v/>
      </c>
      <c r="L200" s="3" t="str">
        <f>IF(A200="","",'Nuts2_level analyse'!AE48)</f>
        <v/>
      </c>
      <c r="M200" s="3" t="str">
        <f>IF(A200="","",IF('Nuts2_level analyse'!X48&gt;0,'Nuts2_level analyse'!AB48/'Nuts2_level analyse'!X48*100,""))</f>
        <v/>
      </c>
      <c r="N200" s="7" t="str">
        <f>IF(A200="","",'Nuts2_level analyse'!AH48)</f>
        <v/>
      </c>
    </row>
    <row r="209" spans="1:10" x14ac:dyDescent="0.2">
      <c r="A209" s="1" t="s">
        <v>13</v>
      </c>
    </row>
    <row r="210" spans="1:10" x14ac:dyDescent="0.2">
      <c r="A210" s="187" t="s">
        <v>11</v>
      </c>
      <c r="B210" s="187" t="s">
        <v>10</v>
      </c>
      <c r="C210" s="187" t="s">
        <v>9</v>
      </c>
      <c r="D210" s="184" t="s">
        <v>8</v>
      </c>
      <c r="E210" s="184"/>
      <c r="F210" s="184"/>
      <c r="G210" s="188" t="s">
        <v>7</v>
      </c>
      <c r="H210" s="188"/>
      <c r="I210" s="188"/>
      <c r="J210" s="185" t="s">
        <v>6</v>
      </c>
    </row>
    <row r="211" spans="1:10" ht="63.6" x14ac:dyDescent="0.2">
      <c r="A211" s="187"/>
      <c r="B211" s="187"/>
      <c r="C211" s="187"/>
      <c r="D211" s="9" t="s">
        <v>5</v>
      </c>
      <c r="E211" s="9" t="s">
        <v>4</v>
      </c>
      <c r="F211" s="9" t="s">
        <v>3</v>
      </c>
      <c r="G211" s="9" t="s">
        <v>2</v>
      </c>
      <c r="H211" s="9" t="s">
        <v>1</v>
      </c>
      <c r="I211" s="9" t="s">
        <v>0</v>
      </c>
      <c r="J211" s="186"/>
    </row>
    <row r="212" spans="1:10" x14ac:dyDescent="0.2">
      <c r="A212" s="6" t="str">
        <f>IF(Summary_big_cities!B5&lt;&gt;0,Summary_big_cities!B5,IF(Summary_big_cities!S5&lt;&gt;0,Summary_big_cities!S5,""))</f>
        <v/>
      </c>
      <c r="B212" s="6" t="str">
        <f>IF(A212="","",IF(Summary_big_cities!A5&lt;&gt;0,Summary_big_cities!A5,Summary_big_cities!R5))</f>
        <v/>
      </c>
      <c r="C212" s="5" t="str">
        <f>IF(A212="","",Summary_big_cities!C5)</f>
        <v/>
      </c>
      <c r="D212" s="5" t="str">
        <f>IF(A212="","",Summary_big_cities!E5)</f>
        <v/>
      </c>
      <c r="E212" s="5" t="str">
        <f>IF(A212="","",Summary_big_cities!G5)</f>
        <v/>
      </c>
      <c r="F212" s="4" t="str">
        <f>IF(A212="","",Summary_big_cities!F5)</f>
        <v/>
      </c>
      <c r="G212" s="3" t="str">
        <f>IF(A212="","",Summary_big_cities!T5)</f>
        <v/>
      </c>
      <c r="H212" s="3" t="str">
        <f>IF(A212="","",Summary_big_cities!U5)</f>
        <v/>
      </c>
      <c r="I212" s="3" t="str">
        <f>IF(A212="","",Summary_big_cities!V5)</f>
        <v/>
      </c>
      <c r="J212" s="2" t="str">
        <f>IF(A212="","",IF(Summary_big_cities!O5&lt;&gt;0,IF(ISERROR(SEARCH("LSA",Summary_big_cities!O5)=TRUE),IF(ISERROR(SEARCH("NA",Summary_big_cities!O5)=TRUE),"Sensitive","Normal"),"Less sensitive"),""))</f>
        <v/>
      </c>
    </row>
    <row r="213" spans="1:10" x14ac:dyDescent="0.2">
      <c r="A213" s="6" t="str">
        <f>IF(Summary_big_cities!B6&lt;&gt;0,Summary_big_cities!B6,IF(Summary_big_cities!S6&lt;&gt;0,Summary_big_cities!S6,""))</f>
        <v/>
      </c>
      <c r="B213" s="6" t="str">
        <f>IF(A213="","",IF(Summary_big_cities!A6&lt;&gt;0,Summary_big_cities!A6,Summary_big_cities!R6))</f>
        <v/>
      </c>
      <c r="C213" s="5" t="str">
        <f>IF(A213="","",Summary_big_cities!C6)</f>
        <v/>
      </c>
      <c r="D213" s="5" t="str">
        <f>IF(A213="","",Summary_big_cities!E6)</f>
        <v/>
      </c>
      <c r="E213" s="5" t="str">
        <f>IF(A213="","",Summary_big_cities!G6)</f>
        <v/>
      </c>
      <c r="F213" s="4" t="str">
        <f>IF(A213="","",Summary_big_cities!F6)</f>
        <v/>
      </c>
      <c r="G213" s="3" t="str">
        <f>IF(A213="","",Summary_big_cities!T6)</f>
        <v/>
      </c>
      <c r="H213" s="3" t="str">
        <f>IF(A213="","",Summary_big_cities!U6)</f>
        <v/>
      </c>
      <c r="I213" s="3" t="str">
        <f>IF(A213="","",Summary_big_cities!V6)</f>
        <v/>
      </c>
      <c r="J213" s="2" t="str">
        <f>IF(A213="","",IF(Summary_big_cities!O6&lt;&gt;0,IF(ISERROR(SEARCH("LSA",Summary_big_cities!O6)=TRUE),IF(ISERROR(SEARCH("NA",Summary_big_cities!O6)=TRUE),"Sensitive","Normal"),"Less sensitive"),""))</f>
        <v/>
      </c>
    </row>
    <row r="214" spans="1:10" x14ac:dyDescent="0.2">
      <c r="A214" s="6" t="str">
        <f>IF(Summary_big_cities!B7&lt;&gt;0,Summary_big_cities!B7,IF(Summary_big_cities!S7&lt;&gt;0,Summary_big_cities!S7,""))</f>
        <v/>
      </c>
      <c r="B214" s="6" t="str">
        <f>IF(A214="","",IF(Summary_big_cities!A7&lt;&gt;0,Summary_big_cities!A7,Summary_big_cities!R7))</f>
        <v/>
      </c>
      <c r="C214" s="5" t="str">
        <f>IF(A214="","",Summary_big_cities!C7)</f>
        <v/>
      </c>
      <c r="D214" s="5" t="str">
        <f>IF(A214="","",Summary_big_cities!E7)</f>
        <v/>
      </c>
      <c r="E214" s="5" t="str">
        <f>IF(A214="","",Summary_big_cities!G7)</f>
        <v/>
      </c>
      <c r="F214" s="4" t="str">
        <f>IF(A214="","",Summary_big_cities!F7)</f>
        <v/>
      </c>
      <c r="G214" s="3" t="str">
        <f>IF(A214="","",Summary_big_cities!T7)</f>
        <v/>
      </c>
      <c r="H214" s="3" t="str">
        <f>IF(A214="","",Summary_big_cities!U7)</f>
        <v/>
      </c>
      <c r="I214" s="3" t="str">
        <f>IF(A214="","",Summary_big_cities!V7)</f>
        <v/>
      </c>
      <c r="J214" s="2" t="str">
        <f>IF(A214="","",IF(Summary_big_cities!O7&lt;&gt;0,IF(ISERROR(SEARCH("LSA",Summary_big_cities!O7)=TRUE),IF(ISERROR(SEARCH("NA",Summary_big_cities!O7)=TRUE),"Sensitive","Normal"),"Less sensitive"),""))</f>
        <v/>
      </c>
    </row>
    <row r="215" spans="1:10" x14ac:dyDescent="0.2">
      <c r="A215" s="6" t="str">
        <f>IF(Summary_big_cities!B8&lt;&gt;0,Summary_big_cities!B8,IF(Summary_big_cities!S8&lt;&gt;0,Summary_big_cities!S8,""))</f>
        <v/>
      </c>
      <c r="B215" s="6" t="str">
        <f>IF(A215="","",IF(Summary_big_cities!A8&lt;&gt;0,Summary_big_cities!A8,Summary_big_cities!R8))</f>
        <v/>
      </c>
      <c r="C215" s="5" t="str">
        <f>IF(A215="","",Summary_big_cities!C8)</f>
        <v/>
      </c>
      <c r="D215" s="5" t="str">
        <f>IF(A215="","",Summary_big_cities!E8)</f>
        <v/>
      </c>
      <c r="E215" s="5" t="str">
        <f>IF(A215="","",Summary_big_cities!G8)</f>
        <v/>
      </c>
      <c r="F215" s="4" t="str">
        <f>IF(A215="","",Summary_big_cities!F8)</f>
        <v/>
      </c>
      <c r="G215" s="3" t="str">
        <f>IF(A215="","",Summary_big_cities!T8)</f>
        <v/>
      </c>
      <c r="H215" s="3" t="str">
        <f>IF(A215="","",Summary_big_cities!U8)</f>
        <v/>
      </c>
      <c r="I215" s="3" t="str">
        <f>IF(A215="","",Summary_big_cities!V8)</f>
        <v/>
      </c>
      <c r="J215" s="2" t="str">
        <f>IF(A215="","",IF(Summary_big_cities!O8&lt;&gt;0,IF(ISERROR(SEARCH("LSA",Summary_big_cities!O8)=TRUE),IF(ISERROR(SEARCH("NA",Summary_big_cities!O8)=TRUE),"Sensitive","Normal"),"Less sensitive"),""))</f>
        <v/>
      </c>
    </row>
    <row r="216" spans="1:10" x14ac:dyDescent="0.2">
      <c r="A216" s="6" t="str">
        <f>IF(Summary_big_cities!B9&lt;&gt;0,Summary_big_cities!B9,IF(Summary_big_cities!S9&lt;&gt;0,Summary_big_cities!S9,""))</f>
        <v/>
      </c>
      <c r="B216" s="6" t="str">
        <f>IF(A216="","",IF(Summary_big_cities!A9&lt;&gt;0,Summary_big_cities!A9,Summary_big_cities!R9))</f>
        <v/>
      </c>
      <c r="C216" s="5" t="str">
        <f>IF(A216="","",Summary_big_cities!C9)</f>
        <v/>
      </c>
      <c r="D216" s="5" t="str">
        <f>IF(A216="","",Summary_big_cities!E9)</f>
        <v/>
      </c>
      <c r="E216" s="5" t="str">
        <f>IF(A216="","",Summary_big_cities!G9)</f>
        <v/>
      </c>
      <c r="F216" s="4" t="str">
        <f>IF(A216="","",Summary_big_cities!F9)</f>
        <v/>
      </c>
      <c r="G216" s="3" t="str">
        <f>IF(A216="","",Summary_big_cities!T9)</f>
        <v/>
      </c>
      <c r="H216" s="3" t="str">
        <f>IF(A216="","",Summary_big_cities!U9)</f>
        <v/>
      </c>
      <c r="I216" s="3" t="str">
        <f>IF(A216="","",Summary_big_cities!V9)</f>
        <v/>
      </c>
      <c r="J216" s="2" t="str">
        <f>IF(A216="","",IF(Summary_big_cities!O9&lt;&gt;0,IF(ISERROR(SEARCH("LSA",Summary_big_cities!O9)=TRUE),IF(ISERROR(SEARCH("NA",Summary_big_cities!O9)=TRUE),"Sensitive","Normal"),"Less sensitive"),""))</f>
        <v/>
      </c>
    </row>
    <row r="217" spans="1:10" x14ac:dyDescent="0.2">
      <c r="A217" s="6" t="str">
        <f>IF(Summary_big_cities!B10&lt;&gt;0,Summary_big_cities!B10,IF(Summary_big_cities!S10&lt;&gt;0,Summary_big_cities!S10,""))</f>
        <v/>
      </c>
      <c r="B217" s="6" t="str">
        <f>IF(A217="","",IF(Summary_big_cities!A10&lt;&gt;0,Summary_big_cities!A10,Summary_big_cities!R10))</f>
        <v/>
      </c>
      <c r="C217" s="5" t="str">
        <f>IF(A217="","",Summary_big_cities!C10)</f>
        <v/>
      </c>
      <c r="D217" s="5" t="str">
        <f>IF(A217="","",Summary_big_cities!E10)</f>
        <v/>
      </c>
      <c r="E217" s="5" t="str">
        <f>IF(A217="","",Summary_big_cities!G10)</f>
        <v/>
      </c>
      <c r="F217" s="4" t="str">
        <f>IF(A217="","",Summary_big_cities!F10)</f>
        <v/>
      </c>
      <c r="G217" s="3" t="str">
        <f>IF(A217="","",Summary_big_cities!T10)</f>
        <v/>
      </c>
      <c r="H217" s="3" t="str">
        <f>IF(A217="","",Summary_big_cities!U10)</f>
        <v/>
      </c>
      <c r="I217" s="3" t="str">
        <f>IF(A217="","",Summary_big_cities!V10)</f>
        <v/>
      </c>
      <c r="J217" s="2" t="str">
        <f>IF(A217="","",IF(Summary_big_cities!O10&lt;&gt;0,IF(ISERROR(SEARCH("LSA",Summary_big_cities!O10)=TRUE),IF(ISERROR(SEARCH("NA",Summary_big_cities!O10)=TRUE),"Sensitive","Normal"),"Less sensitive"),""))</f>
        <v/>
      </c>
    </row>
    <row r="218" spans="1:10" x14ac:dyDescent="0.2">
      <c r="A218" s="6" t="str">
        <f>IF(Summary_big_cities!B11&lt;&gt;0,Summary_big_cities!B11,IF(Summary_big_cities!S11&lt;&gt;0,Summary_big_cities!S11,""))</f>
        <v/>
      </c>
      <c r="B218" s="6" t="str">
        <f>IF(A218="","",IF(Summary_big_cities!A11&lt;&gt;0,Summary_big_cities!A11,Summary_big_cities!R11))</f>
        <v/>
      </c>
      <c r="C218" s="5" t="str">
        <f>IF(A218="","",Summary_big_cities!C11)</f>
        <v/>
      </c>
      <c r="D218" s="5" t="str">
        <f>IF(A218="","",Summary_big_cities!E11)</f>
        <v/>
      </c>
      <c r="E218" s="5" t="str">
        <f>IF(A218="","",Summary_big_cities!G11)</f>
        <v/>
      </c>
      <c r="F218" s="4" t="str">
        <f>IF(A218="","",Summary_big_cities!F11)</f>
        <v/>
      </c>
      <c r="G218" s="3" t="str">
        <f>IF(A218="","",Summary_big_cities!T11)</f>
        <v/>
      </c>
      <c r="H218" s="3" t="str">
        <f>IF(A218="","",Summary_big_cities!U11)</f>
        <v/>
      </c>
      <c r="I218" s="3" t="str">
        <f>IF(A218="","",Summary_big_cities!V11)</f>
        <v/>
      </c>
      <c r="J218" s="2" t="str">
        <f>IF(A218="","",IF(Summary_big_cities!O11&lt;&gt;0,IF(ISERROR(SEARCH("LSA",Summary_big_cities!O11)=TRUE),IF(ISERROR(SEARCH("NA",Summary_big_cities!O11)=TRUE),"Sensitive","Normal"),"Less sensitive"),""))</f>
        <v/>
      </c>
    </row>
    <row r="219" spans="1:10" x14ac:dyDescent="0.2">
      <c r="A219" s="6" t="str">
        <f>IF(Summary_big_cities!B12&lt;&gt;0,Summary_big_cities!B12,IF(Summary_big_cities!S12&lt;&gt;0,Summary_big_cities!S12,""))</f>
        <v/>
      </c>
      <c r="B219" s="6" t="str">
        <f>IF(A219="","",IF(Summary_big_cities!A12&lt;&gt;0,Summary_big_cities!A12,Summary_big_cities!R12))</f>
        <v/>
      </c>
      <c r="C219" s="5" t="str">
        <f>IF(A219="","",Summary_big_cities!C12)</f>
        <v/>
      </c>
      <c r="D219" s="5" t="str">
        <f>IF(A219="","",Summary_big_cities!E12)</f>
        <v/>
      </c>
      <c r="E219" s="5" t="str">
        <f>IF(A219="","",Summary_big_cities!G12)</f>
        <v/>
      </c>
      <c r="F219" s="4" t="str">
        <f>IF(A219="","",Summary_big_cities!F12)</f>
        <v/>
      </c>
      <c r="G219" s="3" t="str">
        <f>IF(A219="","",Summary_big_cities!T12)</f>
        <v/>
      </c>
      <c r="H219" s="3" t="str">
        <f>IF(A219="","",Summary_big_cities!U12)</f>
        <v/>
      </c>
      <c r="I219" s="3" t="str">
        <f>IF(A219="","",Summary_big_cities!V12)</f>
        <v/>
      </c>
      <c r="J219" s="2" t="str">
        <f>IF(A219="","",IF(Summary_big_cities!O12&lt;&gt;0,IF(ISERROR(SEARCH("LSA",Summary_big_cities!O12)=TRUE),IF(ISERROR(SEARCH("NA",Summary_big_cities!O12)=TRUE),"Sensitive","Normal"),"Less sensitive"),""))</f>
        <v/>
      </c>
    </row>
    <row r="220" spans="1:10" x14ac:dyDescent="0.2">
      <c r="A220" s="6" t="str">
        <f>IF(Summary_big_cities!B13&lt;&gt;0,Summary_big_cities!B13,IF(Summary_big_cities!S13&lt;&gt;0,Summary_big_cities!S13,""))</f>
        <v/>
      </c>
      <c r="B220" s="6" t="str">
        <f>IF(A220="","",IF(Summary_big_cities!A13&lt;&gt;0,Summary_big_cities!A13,Summary_big_cities!R13))</f>
        <v/>
      </c>
      <c r="C220" s="5" t="str">
        <f>IF(A220="","",Summary_big_cities!C13)</f>
        <v/>
      </c>
      <c r="D220" s="5" t="str">
        <f>IF(A220="","",Summary_big_cities!E13)</f>
        <v/>
      </c>
      <c r="E220" s="5" t="str">
        <f>IF(A220="","",Summary_big_cities!G13)</f>
        <v/>
      </c>
      <c r="F220" s="4" t="str">
        <f>IF(A220="","",Summary_big_cities!F13)</f>
        <v/>
      </c>
      <c r="G220" s="3" t="str">
        <f>IF(A220="","",Summary_big_cities!T13)</f>
        <v/>
      </c>
      <c r="H220" s="3" t="str">
        <f>IF(A220="","",Summary_big_cities!U13)</f>
        <v/>
      </c>
      <c r="I220" s="3" t="str">
        <f>IF(A220="","",Summary_big_cities!V13)</f>
        <v/>
      </c>
      <c r="J220" s="2" t="str">
        <f>IF(A220="","",IF(Summary_big_cities!O13&lt;&gt;0,IF(ISERROR(SEARCH("LSA",Summary_big_cities!O13)=TRUE),IF(ISERROR(SEARCH("NA",Summary_big_cities!O13)=TRUE),"Sensitive","Normal"),"Less sensitive"),""))</f>
        <v/>
      </c>
    </row>
    <row r="221" spans="1:10" x14ac:dyDescent="0.2">
      <c r="A221" s="6" t="str">
        <f>IF(Summary_big_cities!B14&lt;&gt;0,Summary_big_cities!B14,IF(Summary_big_cities!S14&lt;&gt;0,Summary_big_cities!S14,""))</f>
        <v/>
      </c>
      <c r="B221" s="6" t="str">
        <f>IF(A221="","",IF(Summary_big_cities!A14&lt;&gt;0,Summary_big_cities!A14,Summary_big_cities!R14))</f>
        <v/>
      </c>
      <c r="C221" s="5" t="str">
        <f>IF(A221="","",Summary_big_cities!C14)</f>
        <v/>
      </c>
      <c r="D221" s="5" t="str">
        <f>IF(A221="","",Summary_big_cities!E14)</f>
        <v/>
      </c>
      <c r="E221" s="5" t="str">
        <f>IF(A221="","",Summary_big_cities!G14)</f>
        <v/>
      </c>
      <c r="F221" s="4" t="str">
        <f>IF(A221="","",Summary_big_cities!F14)</f>
        <v/>
      </c>
      <c r="G221" s="3" t="str">
        <f>IF(A221="","",Summary_big_cities!T14)</f>
        <v/>
      </c>
      <c r="H221" s="3" t="str">
        <f>IF(A221="","",Summary_big_cities!U14)</f>
        <v/>
      </c>
      <c r="I221" s="3" t="str">
        <f>IF(A221="","",Summary_big_cities!V14)</f>
        <v/>
      </c>
      <c r="J221" s="2" t="str">
        <f>IF(A221="","",IF(Summary_big_cities!O14&lt;&gt;0,IF(ISERROR(SEARCH("LSA",Summary_big_cities!O14)=TRUE),IF(ISERROR(SEARCH("NA",Summary_big_cities!O14)=TRUE),"Sensitive","Normal"),"Less sensitive"),""))</f>
        <v/>
      </c>
    </row>
    <row r="222" spans="1:10" x14ac:dyDescent="0.2">
      <c r="A222" s="6" t="str">
        <f>IF(Summary_big_cities!B15&lt;&gt;0,Summary_big_cities!B15,IF(Summary_big_cities!S15&lt;&gt;0,Summary_big_cities!S15,""))</f>
        <v/>
      </c>
      <c r="B222" s="6" t="str">
        <f>IF(A222="","",IF(Summary_big_cities!A15&lt;&gt;0,Summary_big_cities!A15,Summary_big_cities!R15))</f>
        <v/>
      </c>
      <c r="C222" s="5" t="str">
        <f>IF(A222="","",Summary_big_cities!C15)</f>
        <v/>
      </c>
      <c r="D222" s="5" t="str">
        <f>IF(A222="","",Summary_big_cities!E15)</f>
        <v/>
      </c>
      <c r="E222" s="5" t="str">
        <f>IF(A222="","",Summary_big_cities!G15)</f>
        <v/>
      </c>
      <c r="F222" s="4" t="str">
        <f>IF(A222="","",Summary_big_cities!F15)</f>
        <v/>
      </c>
      <c r="G222" s="3" t="str">
        <f>IF(A222="","",Summary_big_cities!T15)</f>
        <v/>
      </c>
      <c r="H222" s="3" t="str">
        <f>IF(A222="","",Summary_big_cities!U15)</f>
        <v/>
      </c>
      <c r="I222" s="3" t="str">
        <f>IF(A222="","",Summary_big_cities!V15)</f>
        <v/>
      </c>
      <c r="J222" s="2" t="str">
        <f>IF(A222="","",IF(Summary_big_cities!O15&lt;&gt;0,IF(ISERROR(SEARCH("LSA",Summary_big_cities!O15)=TRUE),IF(ISERROR(SEARCH("NA",Summary_big_cities!O15)=TRUE),"Sensitive","Normal"),"Less sensitive"),""))</f>
        <v/>
      </c>
    </row>
    <row r="223" spans="1:10" x14ac:dyDescent="0.2">
      <c r="A223" s="6" t="str">
        <f>IF(Summary_big_cities!B16&lt;&gt;0,Summary_big_cities!B16,IF(Summary_big_cities!S16&lt;&gt;0,Summary_big_cities!S16,""))</f>
        <v/>
      </c>
      <c r="B223" s="6" t="str">
        <f>IF(A223="","",IF(Summary_big_cities!A16&lt;&gt;0,Summary_big_cities!A16,Summary_big_cities!R16))</f>
        <v/>
      </c>
      <c r="C223" s="5" t="str">
        <f>IF(A223="","",Summary_big_cities!C16)</f>
        <v/>
      </c>
      <c r="D223" s="5" t="str">
        <f>IF(A223="","",Summary_big_cities!E16)</f>
        <v/>
      </c>
      <c r="E223" s="5" t="str">
        <f>IF(A223="","",Summary_big_cities!G16)</f>
        <v/>
      </c>
      <c r="F223" s="4" t="str">
        <f>IF(A223="","",Summary_big_cities!F16)</f>
        <v/>
      </c>
      <c r="G223" s="3" t="str">
        <f>IF(A223="","",Summary_big_cities!T16)</f>
        <v/>
      </c>
      <c r="H223" s="3" t="str">
        <f>IF(A223="","",Summary_big_cities!U16)</f>
        <v/>
      </c>
      <c r="I223" s="3" t="str">
        <f>IF(A223="","",Summary_big_cities!V16)</f>
        <v/>
      </c>
      <c r="J223" s="2" t="str">
        <f>IF(A223="","",IF(Summary_big_cities!O16&lt;&gt;0,IF(ISERROR(SEARCH("LSA",Summary_big_cities!O16)=TRUE),IF(ISERROR(SEARCH("NA",Summary_big_cities!O16)=TRUE),"Sensitive","Normal"),"Less sensitive"),""))</f>
        <v/>
      </c>
    </row>
    <row r="224" spans="1:10" x14ac:dyDescent="0.2">
      <c r="A224" s="6" t="str">
        <f>IF(Summary_big_cities!B17&lt;&gt;0,Summary_big_cities!B17,IF(Summary_big_cities!S17&lt;&gt;0,Summary_big_cities!S17,""))</f>
        <v/>
      </c>
      <c r="B224" s="6" t="str">
        <f>IF(A224="","",IF(Summary_big_cities!A17&lt;&gt;0,Summary_big_cities!A17,Summary_big_cities!R17))</f>
        <v/>
      </c>
      <c r="C224" s="5" t="str">
        <f>IF(A224="","",Summary_big_cities!C17)</f>
        <v/>
      </c>
      <c r="D224" s="5" t="str">
        <f>IF(A224="","",Summary_big_cities!E17)</f>
        <v/>
      </c>
      <c r="E224" s="5" t="str">
        <f>IF(A224="","",Summary_big_cities!G17)</f>
        <v/>
      </c>
      <c r="F224" s="4" t="str">
        <f>IF(A224="","",Summary_big_cities!F17)</f>
        <v/>
      </c>
      <c r="G224" s="3" t="str">
        <f>IF(A224="","",Summary_big_cities!T17)</f>
        <v/>
      </c>
      <c r="H224" s="3" t="str">
        <f>IF(A224="","",Summary_big_cities!U17)</f>
        <v/>
      </c>
      <c r="I224" s="3" t="str">
        <f>IF(A224="","",Summary_big_cities!V17)</f>
        <v/>
      </c>
      <c r="J224" s="2" t="str">
        <f>IF(A224="","",IF(Summary_big_cities!O17&lt;&gt;0,IF(ISERROR(SEARCH("LSA",Summary_big_cities!O17)=TRUE),IF(ISERROR(SEARCH("NA",Summary_big_cities!O17)=TRUE),"Sensitive","Normal"),"Less sensitive"),""))</f>
        <v/>
      </c>
    </row>
    <row r="225" spans="1:10" x14ac:dyDescent="0.2">
      <c r="A225" s="6" t="str">
        <f>IF(Summary_big_cities!B18&lt;&gt;0,Summary_big_cities!B18,IF(Summary_big_cities!S18&lt;&gt;0,Summary_big_cities!S18,""))</f>
        <v/>
      </c>
      <c r="B225" s="6" t="str">
        <f>IF(A225="","",IF(Summary_big_cities!A18&lt;&gt;0,Summary_big_cities!A18,Summary_big_cities!R18))</f>
        <v/>
      </c>
      <c r="C225" s="5" t="str">
        <f>IF(A225="","",Summary_big_cities!C18)</f>
        <v/>
      </c>
      <c r="D225" s="5" t="str">
        <f>IF(A225="","",Summary_big_cities!E18)</f>
        <v/>
      </c>
      <c r="E225" s="5" t="str">
        <f>IF(A225="","",Summary_big_cities!G18)</f>
        <v/>
      </c>
      <c r="F225" s="4" t="str">
        <f>IF(A225="","",Summary_big_cities!F18)</f>
        <v/>
      </c>
      <c r="G225" s="3" t="str">
        <f>IF(A225="","",Summary_big_cities!T18)</f>
        <v/>
      </c>
      <c r="H225" s="3" t="str">
        <f>IF(A225="","",Summary_big_cities!U18)</f>
        <v/>
      </c>
      <c r="I225" s="3" t="str">
        <f>IF(A225="","",Summary_big_cities!V18)</f>
        <v/>
      </c>
      <c r="J225" s="2" t="str">
        <f>IF(A225="","",IF(Summary_big_cities!O18&lt;&gt;0,IF(ISERROR(SEARCH("LSA",Summary_big_cities!O18)=TRUE),IF(ISERROR(SEARCH("NA",Summary_big_cities!O18)=TRUE),"Sensitive","Normal"),"Less sensitive"),""))</f>
        <v/>
      </c>
    </row>
    <row r="226" spans="1:10" x14ac:dyDescent="0.2">
      <c r="A226" s="6" t="str">
        <f>IF(Summary_big_cities!B19&lt;&gt;0,Summary_big_cities!B19,IF(Summary_big_cities!S19&lt;&gt;0,Summary_big_cities!S19,""))</f>
        <v/>
      </c>
      <c r="B226" s="6" t="str">
        <f>IF(A226="","",IF(Summary_big_cities!A19&lt;&gt;0,Summary_big_cities!A19,Summary_big_cities!R19))</f>
        <v/>
      </c>
      <c r="C226" s="5" t="str">
        <f>IF(A226="","",Summary_big_cities!C19)</f>
        <v/>
      </c>
      <c r="D226" s="5" t="str">
        <f>IF(A226="","",Summary_big_cities!E19)</f>
        <v/>
      </c>
      <c r="E226" s="5" t="str">
        <f>IF(A226="","",Summary_big_cities!G19)</f>
        <v/>
      </c>
      <c r="F226" s="4" t="str">
        <f>IF(A226="","",Summary_big_cities!F19)</f>
        <v/>
      </c>
      <c r="G226" s="3" t="str">
        <f>IF(A226="","",Summary_big_cities!T19)</f>
        <v/>
      </c>
      <c r="H226" s="3" t="str">
        <f>IF(A226="","",Summary_big_cities!U19)</f>
        <v/>
      </c>
      <c r="I226" s="3" t="str">
        <f>IF(A226="","",Summary_big_cities!V19)</f>
        <v/>
      </c>
      <c r="J226" s="2" t="str">
        <f>IF(A226="","",IF(Summary_big_cities!O19&lt;&gt;0,IF(ISERROR(SEARCH("LSA",Summary_big_cities!O19)=TRUE),IF(ISERROR(SEARCH("NA",Summary_big_cities!O19)=TRUE),"Sensitive","Normal"),"Less sensitive"),""))</f>
        <v/>
      </c>
    </row>
    <row r="227" spans="1:10" x14ac:dyDescent="0.2">
      <c r="A227" s="6" t="str">
        <f>IF(Summary_big_cities!B20&lt;&gt;0,Summary_big_cities!B20,IF(Summary_big_cities!S20&lt;&gt;0,Summary_big_cities!S20,""))</f>
        <v/>
      </c>
      <c r="B227" s="6" t="str">
        <f>IF(A227="","",IF(Summary_big_cities!A20&lt;&gt;0,Summary_big_cities!A20,Summary_big_cities!R20))</f>
        <v/>
      </c>
      <c r="C227" s="5" t="str">
        <f>IF(A227="","",Summary_big_cities!C20)</f>
        <v/>
      </c>
      <c r="D227" s="5" t="str">
        <f>IF(A227="","",Summary_big_cities!E20)</f>
        <v/>
      </c>
      <c r="E227" s="5" t="str">
        <f>IF(A227="","",Summary_big_cities!G20)</f>
        <v/>
      </c>
      <c r="F227" s="4" t="str">
        <f>IF(A227="","",Summary_big_cities!F20)</f>
        <v/>
      </c>
      <c r="G227" s="3" t="str">
        <f>IF(A227="","",Summary_big_cities!T20)</f>
        <v/>
      </c>
      <c r="H227" s="3" t="str">
        <f>IF(A227="","",Summary_big_cities!U20)</f>
        <v/>
      </c>
      <c r="I227" s="3" t="str">
        <f>IF(A227="","",Summary_big_cities!V20)</f>
        <v/>
      </c>
      <c r="J227" s="2" t="str">
        <f>IF(A227="","",IF(Summary_big_cities!O20&lt;&gt;0,IF(ISERROR(SEARCH("LSA",Summary_big_cities!O20)=TRUE),IF(ISERROR(SEARCH("NA",Summary_big_cities!O20)=TRUE),"Sensitive","Normal"),"Less sensitive"),""))</f>
        <v/>
      </c>
    </row>
    <row r="228" spans="1:10" x14ac:dyDescent="0.2">
      <c r="A228" s="6" t="str">
        <f>IF(Summary_big_cities!B21&lt;&gt;0,Summary_big_cities!B21,IF(Summary_big_cities!S21&lt;&gt;0,Summary_big_cities!S21,""))</f>
        <v/>
      </c>
      <c r="B228" s="6" t="str">
        <f>IF(A228="","",IF(Summary_big_cities!A21&lt;&gt;0,Summary_big_cities!A21,Summary_big_cities!R21))</f>
        <v/>
      </c>
      <c r="C228" s="5" t="str">
        <f>IF(A228="","",Summary_big_cities!C21)</f>
        <v/>
      </c>
      <c r="D228" s="5" t="str">
        <f>IF(A228="","",Summary_big_cities!E21)</f>
        <v/>
      </c>
      <c r="E228" s="5" t="str">
        <f>IF(A228="","",Summary_big_cities!G21)</f>
        <v/>
      </c>
      <c r="F228" s="4" t="str">
        <f>IF(A228="","",Summary_big_cities!F21)</f>
        <v/>
      </c>
      <c r="G228" s="3" t="str">
        <f>IF(A228="","",Summary_big_cities!T21)</f>
        <v/>
      </c>
      <c r="H228" s="3" t="str">
        <f>IF(A228="","",Summary_big_cities!U21)</f>
        <v/>
      </c>
      <c r="I228" s="3" t="str">
        <f>IF(A228="","",Summary_big_cities!V21)</f>
        <v/>
      </c>
      <c r="J228" s="2" t="str">
        <f>IF(A228="","",IF(Summary_big_cities!O21&lt;&gt;0,IF(ISERROR(SEARCH("LSA",Summary_big_cities!O21)=TRUE),IF(ISERROR(SEARCH("NA",Summary_big_cities!O21)=TRUE),"Sensitive","Normal"),"Less sensitive"),""))</f>
        <v/>
      </c>
    </row>
    <row r="229" spans="1:10" x14ac:dyDescent="0.2">
      <c r="A229" s="6" t="str">
        <f>IF(Summary_big_cities!B22&lt;&gt;0,Summary_big_cities!B22,IF(Summary_big_cities!S22&lt;&gt;0,Summary_big_cities!S22,""))</f>
        <v/>
      </c>
      <c r="B229" s="6" t="str">
        <f>IF(A229="","",IF(Summary_big_cities!A22&lt;&gt;0,Summary_big_cities!A22,Summary_big_cities!R22))</f>
        <v/>
      </c>
      <c r="C229" s="5" t="str">
        <f>IF(A229="","",Summary_big_cities!C22)</f>
        <v/>
      </c>
      <c r="D229" s="5" t="str">
        <f>IF(A229="","",Summary_big_cities!E22)</f>
        <v/>
      </c>
      <c r="E229" s="5" t="str">
        <f>IF(A229="","",Summary_big_cities!G22)</f>
        <v/>
      </c>
      <c r="F229" s="4" t="str">
        <f>IF(A229="","",Summary_big_cities!F22)</f>
        <v/>
      </c>
      <c r="G229" s="3" t="str">
        <f>IF(A229="","",Summary_big_cities!T22)</f>
        <v/>
      </c>
      <c r="H229" s="3" t="str">
        <f>IF(A229="","",Summary_big_cities!U22)</f>
        <v/>
      </c>
      <c r="I229" s="3" t="str">
        <f>IF(A229="","",Summary_big_cities!V22)</f>
        <v/>
      </c>
      <c r="J229" s="2" t="str">
        <f>IF(A229="","",IF(Summary_big_cities!O22&lt;&gt;0,IF(ISERROR(SEARCH("LSA",Summary_big_cities!O22)=TRUE),IF(ISERROR(SEARCH("NA",Summary_big_cities!O22)=TRUE),"Sensitive","Normal"),"Less sensitive"),""))</f>
        <v/>
      </c>
    </row>
    <row r="230" spans="1:10" x14ac:dyDescent="0.2">
      <c r="A230" s="6" t="str">
        <f>IF(Summary_big_cities!B23&lt;&gt;0,Summary_big_cities!B23,IF(Summary_big_cities!S23&lt;&gt;0,Summary_big_cities!S23,""))</f>
        <v/>
      </c>
      <c r="B230" s="6" t="str">
        <f>IF(A230="","",IF(Summary_big_cities!A23&lt;&gt;0,Summary_big_cities!A23,Summary_big_cities!R23))</f>
        <v/>
      </c>
      <c r="C230" s="5" t="str">
        <f>IF(A230="","",Summary_big_cities!C23)</f>
        <v/>
      </c>
      <c r="D230" s="5" t="str">
        <f>IF(A230="","",Summary_big_cities!E23)</f>
        <v/>
      </c>
      <c r="E230" s="5" t="str">
        <f>IF(A230="","",Summary_big_cities!G23)</f>
        <v/>
      </c>
      <c r="F230" s="4" t="str">
        <f>IF(A230="","",Summary_big_cities!F23)</f>
        <v/>
      </c>
      <c r="G230" s="3" t="str">
        <f>IF(A230="","",Summary_big_cities!T23)</f>
        <v/>
      </c>
      <c r="H230" s="3" t="str">
        <f>IF(A230="","",Summary_big_cities!U23)</f>
        <v/>
      </c>
      <c r="I230" s="3" t="str">
        <f>IF(A230="","",Summary_big_cities!V23)</f>
        <v/>
      </c>
      <c r="J230" s="2" t="str">
        <f>IF(A230="","",IF(Summary_big_cities!O23&lt;&gt;0,IF(ISERROR(SEARCH("LSA",Summary_big_cities!O23)=TRUE),IF(ISERROR(SEARCH("NA",Summary_big_cities!O23)=TRUE),"Sensitive","Normal"),"Less sensitive"),""))</f>
        <v/>
      </c>
    </row>
    <row r="231" spans="1:10" x14ac:dyDescent="0.2">
      <c r="A231" s="6" t="str">
        <f>IF(Summary_big_cities!B24&lt;&gt;0,Summary_big_cities!B24,IF(Summary_big_cities!S24&lt;&gt;0,Summary_big_cities!S24,""))</f>
        <v/>
      </c>
      <c r="B231" s="6" t="str">
        <f>IF(A231="","",IF(Summary_big_cities!A24&lt;&gt;0,Summary_big_cities!A24,Summary_big_cities!R24))</f>
        <v/>
      </c>
      <c r="C231" s="5" t="str">
        <f>IF(A231="","",Summary_big_cities!C24)</f>
        <v/>
      </c>
      <c r="D231" s="5" t="str">
        <f>IF(A231="","",Summary_big_cities!E24)</f>
        <v/>
      </c>
      <c r="E231" s="5" t="str">
        <f>IF(A231="","",Summary_big_cities!G24)</f>
        <v/>
      </c>
      <c r="F231" s="4" t="str">
        <f>IF(A231="","",Summary_big_cities!F24)</f>
        <v/>
      </c>
      <c r="G231" s="3" t="str">
        <f>IF(A231="","",Summary_big_cities!T24)</f>
        <v/>
      </c>
      <c r="H231" s="3" t="str">
        <f>IF(A231="","",Summary_big_cities!U24)</f>
        <v/>
      </c>
      <c r="I231" s="3" t="str">
        <f>IF(A231="","",Summary_big_cities!V24)</f>
        <v/>
      </c>
      <c r="J231" s="2" t="str">
        <f>IF(A231="","",IF(Summary_big_cities!O24&lt;&gt;0,IF(ISERROR(SEARCH("LSA",Summary_big_cities!O24)=TRUE),IF(ISERROR(SEARCH("NA",Summary_big_cities!O24)=TRUE),"Sensitive","Normal"),"Less sensitive"),""))</f>
        <v/>
      </c>
    </row>
    <row r="232" spans="1:10" x14ac:dyDescent="0.2">
      <c r="A232" s="6" t="str">
        <f>IF(Summary_big_cities!B25&lt;&gt;0,Summary_big_cities!B25,IF(Summary_big_cities!S25&lt;&gt;0,Summary_big_cities!S25,""))</f>
        <v/>
      </c>
      <c r="B232" s="6" t="str">
        <f>IF(A232="","",IF(Summary_big_cities!A25&lt;&gt;0,Summary_big_cities!A25,Summary_big_cities!R25))</f>
        <v/>
      </c>
      <c r="C232" s="5" t="str">
        <f>IF(A232="","",Summary_big_cities!C25)</f>
        <v/>
      </c>
      <c r="D232" s="5" t="str">
        <f>IF(A232="","",Summary_big_cities!E25)</f>
        <v/>
      </c>
      <c r="E232" s="5" t="str">
        <f>IF(A232="","",Summary_big_cities!G25)</f>
        <v/>
      </c>
      <c r="F232" s="4" t="str">
        <f>IF(A232="","",Summary_big_cities!F25)</f>
        <v/>
      </c>
      <c r="G232" s="3" t="str">
        <f>IF(A232="","",Summary_big_cities!T25)</f>
        <v/>
      </c>
      <c r="H232" s="3" t="str">
        <f>IF(A232="","",Summary_big_cities!U25)</f>
        <v/>
      </c>
      <c r="I232" s="3" t="str">
        <f>IF(A232="","",Summary_big_cities!V25)</f>
        <v/>
      </c>
      <c r="J232" s="2" t="str">
        <f>IF(A232="","",IF(Summary_big_cities!O25&lt;&gt;0,IF(ISERROR(SEARCH("LSA",Summary_big_cities!O25)=TRUE),IF(ISERROR(SEARCH("NA",Summary_big_cities!O25)=TRUE),"Sensitive","Normal"),"Less sensitive"),""))</f>
        <v/>
      </c>
    </row>
    <row r="233" spans="1:10" x14ac:dyDescent="0.2">
      <c r="A233" s="6" t="str">
        <f>IF(Summary_big_cities!B26&lt;&gt;0,Summary_big_cities!B26,IF(Summary_big_cities!S26&lt;&gt;0,Summary_big_cities!S26,""))</f>
        <v/>
      </c>
      <c r="B233" s="6" t="str">
        <f>IF(A233="","",IF(Summary_big_cities!A26&lt;&gt;0,Summary_big_cities!A26,Summary_big_cities!R26))</f>
        <v/>
      </c>
      <c r="C233" s="5" t="str">
        <f>IF(A233="","",Summary_big_cities!C26)</f>
        <v/>
      </c>
      <c r="D233" s="5" t="str">
        <f>IF(A233="","",Summary_big_cities!E26)</f>
        <v/>
      </c>
      <c r="E233" s="5" t="str">
        <f>IF(A233="","",Summary_big_cities!G26)</f>
        <v/>
      </c>
      <c r="F233" s="4" t="str">
        <f>IF(A233="","",Summary_big_cities!F26)</f>
        <v/>
      </c>
      <c r="G233" s="3" t="str">
        <f>IF(A233="","",Summary_big_cities!T26)</f>
        <v/>
      </c>
      <c r="H233" s="3" t="str">
        <f>IF(A233="","",Summary_big_cities!U26)</f>
        <v/>
      </c>
      <c r="I233" s="3" t="str">
        <f>IF(A233="","",Summary_big_cities!V26)</f>
        <v/>
      </c>
      <c r="J233" s="2" t="str">
        <f>IF(A233="","",IF(Summary_big_cities!O26&lt;&gt;0,IF(ISERROR(SEARCH("LSA",Summary_big_cities!O26)=TRUE),IF(ISERROR(SEARCH("NA",Summary_big_cities!O26)=TRUE),"Sensitive","Normal"),"Less sensitive"),""))</f>
        <v/>
      </c>
    </row>
    <row r="234" spans="1:10" x14ac:dyDescent="0.2">
      <c r="A234" s="6" t="str">
        <f>IF(Summary_big_cities!B27&lt;&gt;0,Summary_big_cities!B27,IF(Summary_big_cities!S27&lt;&gt;0,Summary_big_cities!S27,""))</f>
        <v/>
      </c>
      <c r="B234" s="6" t="str">
        <f>IF(A234="","",IF(Summary_big_cities!A27&lt;&gt;0,Summary_big_cities!A27,Summary_big_cities!R27))</f>
        <v/>
      </c>
      <c r="C234" s="5" t="str">
        <f>IF(A234="","",Summary_big_cities!C27)</f>
        <v/>
      </c>
      <c r="D234" s="5" t="str">
        <f>IF(A234="","",Summary_big_cities!E27)</f>
        <v/>
      </c>
      <c r="E234" s="5" t="str">
        <f>IF(A234="","",Summary_big_cities!G27)</f>
        <v/>
      </c>
      <c r="F234" s="4" t="str">
        <f>IF(A234="","",Summary_big_cities!F27)</f>
        <v/>
      </c>
      <c r="G234" s="3" t="str">
        <f>IF(A234="","",Summary_big_cities!T27)</f>
        <v/>
      </c>
      <c r="H234" s="3" t="str">
        <f>IF(A234="","",Summary_big_cities!U27)</f>
        <v/>
      </c>
      <c r="I234" s="3" t="str">
        <f>IF(A234="","",Summary_big_cities!V27)</f>
        <v/>
      </c>
      <c r="J234" s="2" t="str">
        <f>IF(A234="","",IF(Summary_big_cities!O27&lt;&gt;0,IF(ISERROR(SEARCH("LSA",Summary_big_cities!O27)=TRUE),IF(ISERROR(SEARCH("NA",Summary_big_cities!O27)=TRUE),"Sensitive","Normal"),"Less sensitive"),""))</f>
        <v/>
      </c>
    </row>
    <row r="235" spans="1:10" x14ac:dyDescent="0.2">
      <c r="A235" s="6" t="str">
        <f>IF(Summary_big_cities!B28&lt;&gt;0,Summary_big_cities!B28,IF(Summary_big_cities!S28&lt;&gt;0,Summary_big_cities!S28,""))</f>
        <v/>
      </c>
      <c r="B235" s="6" t="str">
        <f>IF(A235="","",IF(Summary_big_cities!A28&lt;&gt;0,Summary_big_cities!A28,Summary_big_cities!R28))</f>
        <v/>
      </c>
      <c r="C235" s="5" t="str">
        <f>IF(A235="","",Summary_big_cities!C28)</f>
        <v/>
      </c>
      <c r="D235" s="5" t="str">
        <f>IF(A235="","",Summary_big_cities!E28)</f>
        <v/>
      </c>
      <c r="E235" s="5" t="str">
        <f>IF(A235="","",Summary_big_cities!G28)</f>
        <v/>
      </c>
      <c r="F235" s="4" t="str">
        <f>IF(A235="","",Summary_big_cities!F28)</f>
        <v/>
      </c>
      <c r="G235" s="3" t="str">
        <f>IF(A235="","",Summary_big_cities!T28)</f>
        <v/>
      </c>
      <c r="H235" s="3" t="str">
        <f>IF(A235="","",Summary_big_cities!U28)</f>
        <v/>
      </c>
      <c r="I235" s="3" t="str">
        <f>IF(A235="","",Summary_big_cities!V28)</f>
        <v/>
      </c>
      <c r="J235" s="2" t="str">
        <f>IF(A235="","",IF(Summary_big_cities!O28&lt;&gt;0,IF(ISERROR(SEARCH("LSA",Summary_big_cities!O28)=TRUE),IF(ISERROR(SEARCH("NA",Summary_big_cities!O28)=TRUE),"Sensitive","Normal"),"Less sensitive"),""))</f>
        <v/>
      </c>
    </row>
    <row r="236" spans="1:10" x14ac:dyDescent="0.2">
      <c r="A236" s="6" t="str">
        <f>IF(Summary_big_cities!B29&lt;&gt;0,Summary_big_cities!B29,IF(Summary_big_cities!S29&lt;&gt;0,Summary_big_cities!S29,""))</f>
        <v/>
      </c>
      <c r="B236" s="6" t="str">
        <f>IF(A236="","",IF(Summary_big_cities!A29&lt;&gt;0,Summary_big_cities!A29,Summary_big_cities!R29))</f>
        <v/>
      </c>
      <c r="C236" s="5" t="str">
        <f>IF(A236="","",Summary_big_cities!C29)</f>
        <v/>
      </c>
      <c r="D236" s="5" t="str">
        <f>IF(A236="","",Summary_big_cities!E29)</f>
        <v/>
      </c>
      <c r="E236" s="5" t="str">
        <f>IF(A236="","",Summary_big_cities!G29)</f>
        <v/>
      </c>
      <c r="F236" s="4" t="str">
        <f>IF(A236="","",Summary_big_cities!F29)</f>
        <v/>
      </c>
      <c r="G236" s="3" t="str">
        <f>IF(A236="","",Summary_big_cities!T29)</f>
        <v/>
      </c>
      <c r="H236" s="3" t="str">
        <f>IF(A236="","",Summary_big_cities!U29)</f>
        <v/>
      </c>
      <c r="I236" s="3" t="str">
        <f>IF(A236="","",Summary_big_cities!V29)</f>
        <v/>
      </c>
      <c r="J236" s="2" t="str">
        <f>IF(A236="","",IF(Summary_big_cities!O29&lt;&gt;0,IF(ISERROR(SEARCH("LSA",Summary_big_cities!O29)=TRUE),IF(ISERROR(SEARCH("NA",Summary_big_cities!O29)=TRUE),"Sensitive","Normal"),"Less sensitive"),""))</f>
        <v/>
      </c>
    </row>
    <row r="237" spans="1:10" x14ac:dyDescent="0.2">
      <c r="A237" s="6" t="str">
        <f>IF(Summary_big_cities!B30&lt;&gt;0,Summary_big_cities!B30,IF(Summary_big_cities!S30&lt;&gt;0,Summary_big_cities!S30,""))</f>
        <v/>
      </c>
      <c r="B237" s="6" t="str">
        <f>IF(A237="","",IF(Summary_big_cities!A30&lt;&gt;0,Summary_big_cities!A30,Summary_big_cities!R30))</f>
        <v/>
      </c>
      <c r="C237" s="5" t="str">
        <f>IF(A237="","",Summary_big_cities!C30)</f>
        <v/>
      </c>
      <c r="D237" s="5" t="str">
        <f>IF(A237="","",Summary_big_cities!E30)</f>
        <v/>
      </c>
      <c r="E237" s="5" t="str">
        <f>IF(A237="","",Summary_big_cities!G30)</f>
        <v/>
      </c>
      <c r="F237" s="4" t="str">
        <f>IF(A237="","",Summary_big_cities!F30)</f>
        <v/>
      </c>
      <c r="G237" s="3" t="str">
        <f>IF(A237="","",Summary_big_cities!T30)</f>
        <v/>
      </c>
      <c r="H237" s="3" t="str">
        <f>IF(A237="","",Summary_big_cities!U30)</f>
        <v/>
      </c>
      <c r="I237" s="3" t="str">
        <f>IF(A237="","",Summary_big_cities!V30)</f>
        <v/>
      </c>
      <c r="J237" s="2" t="str">
        <f>IF(A237="","",IF(Summary_big_cities!O30&lt;&gt;0,IF(ISERROR(SEARCH("LSA",Summary_big_cities!O30)=TRUE),IF(ISERROR(SEARCH("NA",Summary_big_cities!O30)=TRUE),"Sensitive","Normal"),"Less sensitive"),""))</f>
        <v/>
      </c>
    </row>
    <row r="238" spans="1:10" x14ac:dyDescent="0.2">
      <c r="A238" s="6" t="str">
        <f>IF(Summary_big_cities!B31&lt;&gt;0,Summary_big_cities!B31,IF(Summary_big_cities!S31&lt;&gt;0,Summary_big_cities!S31,""))</f>
        <v/>
      </c>
      <c r="B238" s="6" t="str">
        <f>IF(A238="","",IF(Summary_big_cities!A31&lt;&gt;0,Summary_big_cities!A31,Summary_big_cities!R31))</f>
        <v/>
      </c>
      <c r="C238" s="5" t="str">
        <f>IF(A238="","",Summary_big_cities!C31)</f>
        <v/>
      </c>
      <c r="D238" s="5" t="str">
        <f>IF(A238="","",Summary_big_cities!E31)</f>
        <v/>
      </c>
      <c r="E238" s="5" t="str">
        <f>IF(A238="","",Summary_big_cities!G31)</f>
        <v/>
      </c>
      <c r="F238" s="4" t="str">
        <f>IF(A238="","",Summary_big_cities!F31)</f>
        <v/>
      </c>
      <c r="G238" s="3" t="str">
        <f>IF(A238="","",Summary_big_cities!T31)</f>
        <v/>
      </c>
      <c r="H238" s="3" t="str">
        <f>IF(A238="","",Summary_big_cities!U31)</f>
        <v/>
      </c>
      <c r="I238" s="3" t="str">
        <f>IF(A238="","",Summary_big_cities!V31)</f>
        <v/>
      </c>
      <c r="J238" s="2" t="str">
        <f>IF(A238="","",IF(Summary_big_cities!O31&lt;&gt;0,IF(ISERROR(SEARCH("LSA",Summary_big_cities!O31)=TRUE),IF(ISERROR(SEARCH("NA",Summary_big_cities!O31)=TRUE),"Sensitive","Normal"),"Less sensitive"),""))</f>
        <v/>
      </c>
    </row>
    <row r="239" spans="1:10" x14ac:dyDescent="0.2">
      <c r="A239" s="6" t="str">
        <f>IF(Summary_big_cities!B32&lt;&gt;0,Summary_big_cities!B32,IF(Summary_big_cities!S32&lt;&gt;0,Summary_big_cities!S32,""))</f>
        <v/>
      </c>
      <c r="B239" s="6" t="str">
        <f>IF(A239="","",IF(Summary_big_cities!A32&lt;&gt;0,Summary_big_cities!A32,Summary_big_cities!R32))</f>
        <v/>
      </c>
      <c r="C239" s="5" t="str">
        <f>IF(A239="","",Summary_big_cities!C32)</f>
        <v/>
      </c>
      <c r="D239" s="5" t="str">
        <f>IF(A239="","",Summary_big_cities!E32)</f>
        <v/>
      </c>
      <c r="E239" s="5" t="str">
        <f>IF(A239="","",Summary_big_cities!G32)</f>
        <v/>
      </c>
      <c r="F239" s="4" t="str">
        <f>IF(A239="","",Summary_big_cities!F32)</f>
        <v/>
      </c>
      <c r="G239" s="3" t="str">
        <f>IF(A239="","",Summary_big_cities!T32)</f>
        <v/>
      </c>
      <c r="H239" s="3" t="str">
        <f>IF(A239="","",Summary_big_cities!U32)</f>
        <v/>
      </c>
      <c r="I239" s="3" t="str">
        <f>IF(A239="","",Summary_big_cities!V32)</f>
        <v/>
      </c>
      <c r="J239" s="2" t="str">
        <f>IF(A239="","",IF(Summary_big_cities!O32&lt;&gt;0,IF(ISERROR(SEARCH("LSA",Summary_big_cities!O32)=TRUE),IF(ISERROR(SEARCH("NA",Summary_big_cities!O32)=TRUE),"Sensitive","Normal"),"Less sensitive"),""))</f>
        <v/>
      </c>
    </row>
    <row r="240" spans="1:10" x14ac:dyDescent="0.2">
      <c r="A240" s="6" t="str">
        <f>IF(Summary_big_cities!B33&lt;&gt;0,Summary_big_cities!B33,IF(Summary_big_cities!S33&lt;&gt;0,Summary_big_cities!S33,""))</f>
        <v/>
      </c>
      <c r="B240" s="6" t="str">
        <f>IF(A240="","",IF(Summary_big_cities!A33&lt;&gt;0,Summary_big_cities!A33,Summary_big_cities!R33))</f>
        <v/>
      </c>
      <c r="C240" s="5" t="str">
        <f>IF(A240="","",Summary_big_cities!C33)</f>
        <v/>
      </c>
      <c r="D240" s="5" t="str">
        <f>IF(A240="","",Summary_big_cities!E33)</f>
        <v/>
      </c>
      <c r="E240" s="5" t="str">
        <f>IF(A240="","",Summary_big_cities!G33)</f>
        <v/>
      </c>
      <c r="F240" s="4" t="str">
        <f>IF(A240="","",Summary_big_cities!F33)</f>
        <v/>
      </c>
      <c r="G240" s="3" t="str">
        <f>IF(A240="","",Summary_big_cities!T33)</f>
        <v/>
      </c>
      <c r="H240" s="3" t="str">
        <f>IF(A240="","",Summary_big_cities!U33)</f>
        <v/>
      </c>
      <c r="I240" s="3" t="str">
        <f>IF(A240="","",Summary_big_cities!V33)</f>
        <v/>
      </c>
      <c r="J240" s="2" t="str">
        <f>IF(A240="","",IF(Summary_big_cities!O33&lt;&gt;0,IF(ISERROR(SEARCH("LSA",Summary_big_cities!O33)=TRUE),IF(ISERROR(SEARCH("NA",Summary_big_cities!O33)=TRUE),"Sensitive","Normal"),"Less sensitive"),""))</f>
        <v/>
      </c>
    </row>
    <row r="241" spans="1:10" x14ac:dyDescent="0.2">
      <c r="A241" s="6" t="str">
        <f>IF(Summary_big_cities!B34&lt;&gt;0,Summary_big_cities!B34,IF(Summary_big_cities!S34&lt;&gt;0,Summary_big_cities!S34,""))</f>
        <v/>
      </c>
      <c r="B241" s="6" t="str">
        <f>IF(A241="","",IF(Summary_big_cities!A34&lt;&gt;0,Summary_big_cities!A34,Summary_big_cities!R34))</f>
        <v/>
      </c>
      <c r="C241" s="5" t="str">
        <f>IF(A241="","",Summary_big_cities!C34)</f>
        <v/>
      </c>
      <c r="D241" s="5" t="str">
        <f>IF(A241="","",Summary_big_cities!E34)</f>
        <v/>
      </c>
      <c r="E241" s="5" t="str">
        <f>IF(A241="","",Summary_big_cities!G34)</f>
        <v/>
      </c>
      <c r="F241" s="4" t="str">
        <f>IF(A241="","",Summary_big_cities!F34)</f>
        <v/>
      </c>
      <c r="G241" s="3" t="str">
        <f>IF(A241="","",Summary_big_cities!T34)</f>
        <v/>
      </c>
      <c r="H241" s="3" t="str">
        <f>IF(A241="","",Summary_big_cities!U34)</f>
        <v/>
      </c>
      <c r="I241" s="3" t="str">
        <f>IF(A241="","",Summary_big_cities!V34)</f>
        <v/>
      </c>
      <c r="J241" s="2" t="str">
        <f>IF(A241="","",IF(Summary_big_cities!O34&lt;&gt;0,IF(ISERROR(SEARCH("LSA",Summary_big_cities!O34)=TRUE),IF(ISERROR(SEARCH("NA",Summary_big_cities!O34)=TRUE),"Sensitive","Normal"),"Less sensitive"),""))</f>
        <v/>
      </c>
    </row>
    <row r="242" spans="1:10" x14ac:dyDescent="0.2">
      <c r="A242" s="6" t="str">
        <f>IF(Summary_big_cities!B35&lt;&gt;0,Summary_big_cities!B35,IF(Summary_big_cities!S35&lt;&gt;0,Summary_big_cities!S35,""))</f>
        <v/>
      </c>
      <c r="B242" s="6" t="str">
        <f>IF(A242="","",IF(Summary_big_cities!A35&lt;&gt;0,Summary_big_cities!A35,Summary_big_cities!R35))</f>
        <v/>
      </c>
      <c r="C242" s="5" t="str">
        <f>IF(A242="","",Summary_big_cities!C35)</f>
        <v/>
      </c>
      <c r="D242" s="5" t="str">
        <f>IF(A242="","",Summary_big_cities!E35)</f>
        <v/>
      </c>
      <c r="E242" s="5" t="str">
        <f>IF(A242="","",Summary_big_cities!G35)</f>
        <v/>
      </c>
      <c r="F242" s="4" t="str">
        <f>IF(A242="","",Summary_big_cities!F35)</f>
        <v/>
      </c>
      <c r="G242" s="3" t="str">
        <f>IF(A242="","",Summary_big_cities!T35)</f>
        <v/>
      </c>
      <c r="H242" s="3" t="str">
        <f>IF(A242="","",Summary_big_cities!U35)</f>
        <v/>
      </c>
      <c r="I242" s="3" t="str">
        <f>IF(A242="","",Summary_big_cities!V35)</f>
        <v/>
      </c>
      <c r="J242" s="2" t="str">
        <f>IF(A242="","",IF(Summary_big_cities!O35&lt;&gt;0,IF(ISERROR(SEARCH("LSA",Summary_big_cities!O35)=TRUE),IF(ISERROR(SEARCH("NA",Summary_big_cities!O35)=TRUE),"Sensitive","Normal"),"Less sensitive"),""))</f>
        <v/>
      </c>
    </row>
    <row r="243" spans="1:10" x14ac:dyDescent="0.2">
      <c r="A243" s="6" t="str">
        <f>IF(Summary_big_cities!B36&lt;&gt;0,Summary_big_cities!B36,IF(Summary_big_cities!S36&lt;&gt;0,Summary_big_cities!S36,""))</f>
        <v/>
      </c>
      <c r="B243" s="6" t="str">
        <f>IF(A243="","",IF(Summary_big_cities!A36&lt;&gt;0,Summary_big_cities!A36,Summary_big_cities!R36))</f>
        <v/>
      </c>
      <c r="C243" s="5" t="str">
        <f>IF(A243="","",Summary_big_cities!C36)</f>
        <v/>
      </c>
      <c r="D243" s="5" t="str">
        <f>IF(A243="","",Summary_big_cities!E36)</f>
        <v/>
      </c>
      <c r="E243" s="5" t="str">
        <f>IF(A243="","",Summary_big_cities!G36)</f>
        <v/>
      </c>
      <c r="F243" s="4" t="str">
        <f>IF(A243="","",Summary_big_cities!F36)</f>
        <v/>
      </c>
      <c r="G243" s="3" t="str">
        <f>IF(A243="","",Summary_big_cities!T36)</f>
        <v/>
      </c>
      <c r="H243" s="3" t="str">
        <f>IF(A243="","",Summary_big_cities!U36)</f>
        <v/>
      </c>
      <c r="I243" s="3" t="str">
        <f>IF(A243="","",Summary_big_cities!V36)</f>
        <v/>
      </c>
      <c r="J243" s="2" t="str">
        <f>IF(A243="","",IF(Summary_big_cities!O36&lt;&gt;0,IF(ISERROR(SEARCH("LSA",Summary_big_cities!O36)=TRUE),IF(ISERROR(SEARCH("NA",Summary_big_cities!O36)=TRUE),"Sensitive","Normal"),"Less sensitive"),""))</f>
        <v/>
      </c>
    </row>
    <row r="244" spans="1:10" x14ac:dyDescent="0.2">
      <c r="A244" s="6" t="str">
        <f>IF(Summary_big_cities!B37&lt;&gt;0,Summary_big_cities!B37,IF(Summary_big_cities!S37&lt;&gt;0,Summary_big_cities!S37,""))</f>
        <v/>
      </c>
      <c r="B244" s="6" t="str">
        <f>IF(A244="","",IF(Summary_big_cities!A37&lt;&gt;0,Summary_big_cities!A37,Summary_big_cities!R37))</f>
        <v/>
      </c>
      <c r="C244" s="5" t="str">
        <f>IF(A244="","",Summary_big_cities!C37)</f>
        <v/>
      </c>
      <c r="D244" s="5" t="str">
        <f>IF(A244="","",Summary_big_cities!E37)</f>
        <v/>
      </c>
      <c r="E244" s="5" t="str">
        <f>IF(A244="","",Summary_big_cities!G37)</f>
        <v/>
      </c>
      <c r="F244" s="4" t="str">
        <f>IF(A244="","",Summary_big_cities!F37)</f>
        <v/>
      </c>
      <c r="G244" s="3" t="str">
        <f>IF(A244="","",Summary_big_cities!T37)</f>
        <v/>
      </c>
      <c r="H244" s="3" t="str">
        <f>IF(A244="","",Summary_big_cities!U37)</f>
        <v/>
      </c>
      <c r="I244" s="3" t="str">
        <f>IF(A244="","",Summary_big_cities!V37)</f>
        <v/>
      </c>
      <c r="J244" s="2" t="str">
        <f>IF(A244="","",IF(Summary_big_cities!O37&lt;&gt;0,IF(ISERROR(SEARCH("LSA",Summary_big_cities!O37)=TRUE),IF(ISERROR(SEARCH("NA",Summary_big_cities!O37)=TRUE),"Sensitive","Normal"),"Less sensitive"),""))</f>
        <v/>
      </c>
    </row>
    <row r="245" spans="1:10" x14ac:dyDescent="0.2">
      <c r="A245" s="6" t="str">
        <f>IF(Summary_big_cities!B38&lt;&gt;0,Summary_big_cities!B38,IF(Summary_big_cities!S38&lt;&gt;0,Summary_big_cities!S38,""))</f>
        <v/>
      </c>
      <c r="B245" s="6" t="str">
        <f>IF(A245="","",IF(Summary_big_cities!A38&lt;&gt;0,Summary_big_cities!A38,Summary_big_cities!R38))</f>
        <v/>
      </c>
      <c r="C245" s="5" t="str">
        <f>IF(A245="","",Summary_big_cities!C38)</f>
        <v/>
      </c>
      <c r="D245" s="5" t="str">
        <f>IF(A245="","",Summary_big_cities!E38)</f>
        <v/>
      </c>
      <c r="E245" s="5" t="str">
        <f>IF(A245="","",Summary_big_cities!G38)</f>
        <v/>
      </c>
      <c r="F245" s="4" t="str">
        <f>IF(A245="","",Summary_big_cities!F38)</f>
        <v/>
      </c>
      <c r="G245" s="3" t="str">
        <f>IF(A245="","",Summary_big_cities!T38)</f>
        <v/>
      </c>
      <c r="H245" s="3" t="str">
        <f>IF(A245="","",Summary_big_cities!U38)</f>
        <v/>
      </c>
      <c r="I245" s="3" t="str">
        <f>IF(A245="","",Summary_big_cities!V38)</f>
        <v/>
      </c>
      <c r="J245" s="2" t="str">
        <f>IF(A245="","",IF(Summary_big_cities!O38&lt;&gt;0,IF(ISERROR(SEARCH("LSA",Summary_big_cities!O38)=TRUE),IF(ISERROR(SEARCH("NA",Summary_big_cities!O38)=TRUE),"Sensitive","Normal"),"Less sensitive"),""))</f>
        <v/>
      </c>
    </row>
    <row r="246" spans="1:10" x14ac:dyDescent="0.2">
      <c r="A246" s="6" t="str">
        <f>IF(Summary_big_cities!B39&lt;&gt;0,Summary_big_cities!B39,IF(Summary_big_cities!S39&lt;&gt;0,Summary_big_cities!S39,""))</f>
        <v/>
      </c>
      <c r="B246" s="6" t="str">
        <f>IF(A246="","",IF(Summary_big_cities!A39&lt;&gt;0,Summary_big_cities!A39,Summary_big_cities!R39))</f>
        <v/>
      </c>
      <c r="C246" s="5" t="str">
        <f>IF(A246="","",Summary_big_cities!C39)</f>
        <v/>
      </c>
      <c r="D246" s="5" t="str">
        <f>IF(A246="","",Summary_big_cities!E39)</f>
        <v/>
      </c>
      <c r="E246" s="5" t="str">
        <f>IF(A246="","",Summary_big_cities!G39)</f>
        <v/>
      </c>
      <c r="F246" s="4" t="str">
        <f>IF(A246="","",Summary_big_cities!F39)</f>
        <v/>
      </c>
      <c r="G246" s="3" t="str">
        <f>IF(A246="","",Summary_big_cities!T39)</f>
        <v/>
      </c>
      <c r="H246" s="3" t="str">
        <f>IF(A246="","",Summary_big_cities!U39)</f>
        <v/>
      </c>
      <c r="I246" s="3" t="str">
        <f>IF(A246="","",Summary_big_cities!V39)</f>
        <v/>
      </c>
      <c r="J246" s="2" t="str">
        <f>IF(A246="","",IF(Summary_big_cities!O39&lt;&gt;0,IF(ISERROR(SEARCH("LSA",Summary_big_cities!O39)=TRUE),IF(ISERROR(SEARCH("NA",Summary_big_cities!O39)=TRUE),"Sensitive","Normal"),"Less sensitive"),""))</f>
        <v/>
      </c>
    </row>
    <row r="247" spans="1:10" x14ac:dyDescent="0.2">
      <c r="A247" s="6" t="str">
        <f>IF(Summary_big_cities!B40&lt;&gt;0,Summary_big_cities!B40,IF(Summary_big_cities!S40&lt;&gt;0,Summary_big_cities!S40,""))</f>
        <v/>
      </c>
      <c r="B247" s="6" t="str">
        <f>IF(A247="","",IF(Summary_big_cities!A40&lt;&gt;0,Summary_big_cities!A40,Summary_big_cities!R40))</f>
        <v/>
      </c>
      <c r="C247" s="5" t="str">
        <f>IF(A247="","",Summary_big_cities!C40)</f>
        <v/>
      </c>
      <c r="D247" s="5" t="str">
        <f>IF(A247="","",Summary_big_cities!E40)</f>
        <v/>
      </c>
      <c r="E247" s="5" t="str">
        <f>IF(A247="","",Summary_big_cities!G40)</f>
        <v/>
      </c>
      <c r="F247" s="4" t="str">
        <f>IF(A247="","",Summary_big_cities!F40)</f>
        <v/>
      </c>
      <c r="G247" s="3" t="str">
        <f>IF(A247="","",Summary_big_cities!T40)</f>
        <v/>
      </c>
      <c r="H247" s="3" t="str">
        <f>IF(A247="","",Summary_big_cities!U40)</f>
        <v/>
      </c>
      <c r="I247" s="3" t="str">
        <f>IF(A247="","",Summary_big_cities!V40)</f>
        <v/>
      </c>
      <c r="J247" s="2" t="str">
        <f>IF(A247="","",IF(Summary_big_cities!O40&lt;&gt;0,IF(ISERROR(SEARCH("LSA",Summary_big_cities!O40)=TRUE),IF(ISERROR(SEARCH("NA",Summary_big_cities!O40)=TRUE),"Sensitive","Normal"),"Less sensitive"),""))</f>
        <v/>
      </c>
    </row>
    <row r="248" spans="1:10" x14ac:dyDescent="0.2">
      <c r="A248" s="6" t="str">
        <f>IF(Summary_big_cities!B41&lt;&gt;0,Summary_big_cities!B41,IF(Summary_big_cities!S41&lt;&gt;0,Summary_big_cities!S41,""))</f>
        <v/>
      </c>
      <c r="B248" s="6" t="str">
        <f>IF(A248="","",IF(Summary_big_cities!A41&lt;&gt;0,Summary_big_cities!A41,Summary_big_cities!R41))</f>
        <v/>
      </c>
      <c r="C248" s="5" t="str">
        <f>IF(A248="","",Summary_big_cities!C41)</f>
        <v/>
      </c>
      <c r="D248" s="5" t="str">
        <f>IF(A248="","",Summary_big_cities!E41)</f>
        <v/>
      </c>
      <c r="E248" s="5" t="str">
        <f>IF(A248="","",Summary_big_cities!G41)</f>
        <v/>
      </c>
      <c r="F248" s="4" t="str">
        <f>IF(A248="","",Summary_big_cities!F41)</f>
        <v/>
      </c>
      <c r="G248" s="3" t="str">
        <f>IF(A248="","",Summary_big_cities!T41)</f>
        <v/>
      </c>
      <c r="H248" s="3" t="str">
        <f>IF(A248="","",Summary_big_cities!U41)</f>
        <v/>
      </c>
      <c r="I248" s="3" t="str">
        <f>IF(A248="","",Summary_big_cities!V41)</f>
        <v/>
      </c>
      <c r="J248" s="2" t="str">
        <f>IF(A248="","",IF(Summary_big_cities!O41&lt;&gt;0,IF(ISERROR(SEARCH("LSA",Summary_big_cities!O41)=TRUE),IF(ISERROR(SEARCH("NA",Summary_big_cities!O41)=TRUE),"Sensitive","Normal"),"Less sensitive"),""))</f>
        <v/>
      </c>
    </row>
    <row r="249" spans="1:10" x14ac:dyDescent="0.2">
      <c r="A249" s="6" t="str">
        <f>IF(Summary_big_cities!B42&lt;&gt;0,Summary_big_cities!B42,IF(Summary_big_cities!S42&lt;&gt;0,Summary_big_cities!S42,""))</f>
        <v/>
      </c>
      <c r="B249" s="6" t="str">
        <f>IF(A249="","",IF(Summary_big_cities!A42&lt;&gt;0,Summary_big_cities!A42,Summary_big_cities!R42))</f>
        <v/>
      </c>
      <c r="C249" s="5" t="str">
        <f>IF(A249="","",Summary_big_cities!C42)</f>
        <v/>
      </c>
      <c r="D249" s="5" t="str">
        <f>IF(A249="","",Summary_big_cities!E42)</f>
        <v/>
      </c>
      <c r="E249" s="5" t="str">
        <f>IF(A249="","",Summary_big_cities!G42)</f>
        <v/>
      </c>
      <c r="F249" s="4" t="str">
        <f>IF(A249="","",Summary_big_cities!F42)</f>
        <v/>
      </c>
      <c r="G249" s="3" t="str">
        <f>IF(A249="","",Summary_big_cities!T42)</f>
        <v/>
      </c>
      <c r="H249" s="3" t="str">
        <f>IF(A249="","",Summary_big_cities!U42)</f>
        <v/>
      </c>
      <c r="I249" s="3" t="str">
        <f>IF(A249="","",Summary_big_cities!V42)</f>
        <v/>
      </c>
      <c r="J249" s="2" t="str">
        <f>IF(A249="","",IF(Summary_big_cities!O42&lt;&gt;0,IF(ISERROR(SEARCH("LSA",Summary_big_cities!O42)=TRUE),IF(ISERROR(SEARCH("NA",Summary_big_cities!O42)=TRUE),"Sensitive","Normal"),"Less sensitive"),""))</f>
        <v/>
      </c>
    </row>
    <row r="250" spans="1:10" x14ac:dyDescent="0.2">
      <c r="A250" s="6" t="str">
        <f>IF(Summary_big_cities!B43&lt;&gt;0,Summary_big_cities!B43,IF(Summary_big_cities!S43&lt;&gt;0,Summary_big_cities!S43,""))</f>
        <v/>
      </c>
      <c r="B250" s="6" t="str">
        <f>IF(A250="","",IF(Summary_big_cities!A43&lt;&gt;0,Summary_big_cities!A43,Summary_big_cities!R43))</f>
        <v/>
      </c>
      <c r="C250" s="5" t="str">
        <f>IF(A250="","",Summary_big_cities!C43)</f>
        <v/>
      </c>
      <c r="D250" s="5" t="str">
        <f>IF(A250="","",Summary_big_cities!E43)</f>
        <v/>
      </c>
      <c r="E250" s="5" t="str">
        <f>IF(A250="","",Summary_big_cities!G43)</f>
        <v/>
      </c>
      <c r="F250" s="4" t="str">
        <f>IF(A250="","",Summary_big_cities!F43)</f>
        <v/>
      </c>
      <c r="G250" s="3" t="str">
        <f>IF(A250="","",Summary_big_cities!T43)</f>
        <v/>
      </c>
      <c r="H250" s="3" t="str">
        <f>IF(A250="","",Summary_big_cities!U43)</f>
        <v/>
      </c>
      <c r="I250" s="3" t="str">
        <f>IF(A250="","",Summary_big_cities!V43)</f>
        <v/>
      </c>
      <c r="J250" s="2" t="str">
        <f>IF(A250="","",IF(Summary_big_cities!O43&lt;&gt;0,IF(ISERROR(SEARCH("LSA",Summary_big_cities!O43)=TRUE),IF(ISERROR(SEARCH("NA",Summary_big_cities!O43)=TRUE),"Sensitive","Normal"),"Less sensitive"),""))</f>
        <v/>
      </c>
    </row>
    <row r="251" spans="1:10" x14ac:dyDescent="0.2">
      <c r="A251" s="6" t="str">
        <f>IF(Summary_big_cities!B44&lt;&gt;0,Summary_big_cities!B44,IF(Summary_big_cities!S44&lt;&gt;0,Summary_big_cities!S44,""))</f>
        <v/>
      </c>
      <c r="B251" s="6" t="str">
        <f>IF(A251="","",IF(Summary_big_cities!A44&lt;&gt;0,Summary_big_cities!A44,Summary_big_cities!R44))</f>
        <v/>
      </c>
      <c r="C251" s="5" t="str">
        <f>IF(A251="","",Summary_big_cities!C44)</f>
        <v/>
      </c>
      <c r="D251" s="5" t="str">
        <f>IF(A251="","",Summary_big_cities!E44)</f>
        <v/>
      </c>
      <c r="E251" s="5" t="str">
        <f>IF(A251="","",Summary_big_cities!G44)</f>
        <v/>
      </c>
      <c r="F251" s="4" t="str">
        <f>IF(A251="","",Summary_big_cities!F44)</f>
        <v/>
      </c>
      <c r="G251" s="3" t="str">
        <f>IF(A251="","",Summary_big_cities!T44)</f>
        <v/>
      </c>
      <c r="H251" s="3" t="str">
        <f>IF(A251="","",Summary_big_cities!U44)</f>
        <v/>
      </c>
      <c r="I251" s="3" t="str">
        <f>IF(A251="","",Summary_big_cities!V44)</f>
        <v/>
      </c>
      <c r="J251" s="2" t="str">
        <f>IF(A251="","",IF(Summary_big_cities!O44&lt;&gt;0,IF(ISERROR(SEARCH("LSA",Summary_big_cities!O44)=TRUE),IF(ISERROR(SEARCH("NA",Summary_big_cities!O44)=TRUE),"Sensitive","Normal"),"Less sensitive"),""))</f>
        <v/>
      </c>
    </row>
    <row r="252" spans="1:10" x14ac:dyDescent="0.2">
      <c r="A252" s="6" t="str">
        <f>IF(Summary_big_cities!B45&lt;&gt;0,Summary_big_cities!B45,IF(Summary_big_cities!S45&lt;&gt;0,Summary_big_cities!S45,""))</f>
        <v/>
      </c>
      <c r="B252" s="6" t="str">
        <f>IF(A252="","",IF(Summary_big_cities!A45&lt;&gt;0,Summary_big_cities!A45,Summary_big_cities!R45))</f>
        <v/>
      </c>
      <c r="C252" s="5" t="str">
        <f>IF(A252="","",Summary_big_cities!C45)</f>
        <v/>
      </c>
      <c r="D252" s="5" t="str">
        <f>IF(A252="","",Summary_big_cities!E45)</f>
        <v/>
      </c>
      <c r="E252" s="5" t="str">
        <f>IF(A252="","",Summary_big_cities!G45)</f>
        <v/>
      </c>
      <c r="F252" s="4" t="str">
        <f>IF(A252="","",Summary_big_cities!F45)</f>
        <v/>
      </c>
      <c r="G252" s="3" t="str">
        <f>IF(A252="","",Summary_big_cities!T45)</f>
        <v/>
      </c>
      <c r="H252" s="3" t="str">
        <f>IF(A252="","",Summary_big_cities!U45)</f>
        <v/>
      </c>
      <c r="I252" s="3" t="str">
        <f>IF(A252="","",Summary_big_cities!V45)</f>
        <v/>
      </c>
      <c r="J252" s="2" t="str">
        <f>IF(A252="","",IF(Summary_big_cities!O45&lt;&gt;0,IF(ISERROR(SEARCH("LSA",Summary_big_cities!O45)=TRUE),IF(ISERROR(SEARCH("NA",Summary_big_cities!O45)=TRUE),"Sensitive","Normal"),"Less sensitive"),""))</f>
        <v/>
      </c>
    </row>
    <row r="253" spans="1:10" x14ac:dyDescent="0.2">
      <c r="A253" s="6" t="str">
        <f>IF(Summary_big_cities!B46&lt;&gt;0,Summary_big_cities!B46,IF(Summary_big_cities!S46&lt;&gt;0,Summary_big_cities!S46,""))</f>
        <v/>
      </c>
      <c r="B253" s="6" t="str">
        <f>IF(A253="","",IF(Summary_big_cities!A46&lt;&gt;0,Summary_big_cities!A46,Summary_big_cities!R46))</f>
        <v/>
      </c>
      <c r="C253" s="5" t="str">
        <f>IF(A253="","",Summary_big_cities!C46)</f>
        <v/>
      </c>
      <c r="D253" s="5" t="str">
        <f>IF(A253="","",Summary_big_cities!E46)</f>
        <v/>
      </c>
      <c r="E253" s="5" t="str">
        <f>IF(A253="","",Summary_big_cities!G46)</f>
        <v/>
      </c>
      <c r="F253" s="4" t="str">
        <f>IF(A253="","",Summary_big_cities!F46)</f>
        <v/>
      </c>
      <c r="G253" s="3" t="str">
        <f>IF(A253="","",Summary_big_cities!T46)</f>
        <v/>
      </c>
      <c r="H253" s="3" t="str">
        <f>IF(A253="","",Summary_big_cities!U46)</f>
        <v/>
      </c>
      <c r="I253" s="3" t="str">
        <f>IF(A253="","",Summary_big_cities!V46)</f>
        <v/>
      </c>
      <c r="J253" s="2" t="str">
        <f>IF(A253="","",IF(Summary_big_cities!O46&lt;&gt;0,IF(ISERROR(SEARCH("LSA",Summary_big_cities!O46)=TRUE),IF(ISERROR(SEARCH("NA",Summary_big_cities!O46)=TRUE),"Sensitive","Normal"),"Less sensitive"),""))</f>
        <v/>
      </c>
    </row>
    <row r="254" spans="1:10" x14ac:dyDescent="0.2">
      <c r="A254" s="6" t="str">
        <f>IF(Summary_big_cities!B47&lt;&gt;0,Summary_big_cities!B47,IF(Summary_big_cities!S47&lt;&gt;0,Summary_big_cities!S47,""))</f>
        <v/>
      </c>
      <c r="B254" s="6" t="str">
        <f>IF(A254="","",IF(Summary_big_cities!A47&lt;&gt;0,Summary_big_cities!A47,Summary_big_cities!R47))</f>
        <v/>
      </c>
      <c r="C254" s="5" t="str">
        <f>IF(A254="","",Summary_big_cities!C47)</f>
        <v/>
      </c>
      <c r="D254" s="5" t="str">
        <f>IF(A254="","",Summary_big_cities!E47)</f>
        <v/>
      </c>
      <c r="E254" s="5" t="str">
        <f>IF(A254="","",Summary_big_cities!G47)</f>
        <v/>
      </c>
      <c r="F254" s="4" t="str">
        <f>IF(A254="","",Summary_big_cities!F47)</f>
        <v/>
      </c>
      <c r="G254" s="3" t="str">
        <f>IF(A254="","",Summary_big_cities!T47)</f>
        <v/>
      </c>
      <c r="H254" s="3" t="str">
        <f>IF(A254="","",Summary_big_cities!U47)</f>
        <v/>
      </c>
      <c r="I254" s="3" t="str">
        <f>IF(A254="","",Summary_big_cities!V47)</f>
        <v/>
      </c>
      <c r="J254" s="2" t="str">
        <f>IF(A254="","",IF(Summary_big_cities!O47&lt;&gt;0,IF(ISERROR(SEARCH("LSA",Summary_big_cities!O47)=TRUE),IF(ISERROR(SEARCH("NA",Summary_big_cities!O47)=TRUE),"Sensitive","Normal"),"Less sensitive"),""))</f>
        <v/>
      </c>
    </row>
    <row r="255" spans="1:10" x14ac:dyDescent="0.2">
      <c r="A255" s="6" t="str">
        <f>IF(Summary_big_cities!B48&lt;&gt;0,Summary_big_cities!B48,IF(Summary_big_cities!S48&lt;&gt;0,Summary_big_cities!S48,""))</f>
        <v/>
      </c>
      <c r="B255" s="6" t="str">
        <f>IF(A255="","",IF(Summary_big_cities!A48&lt;&gt;0,Summary_big_cities!A48,Summary_big_cities!R48))</f>
        <v/>
      </c>
      <c r="C255" s="5" t="str">
        <f>IF(A255="","",Summary_big_cities!C48)</f>
        <v/>
      </c>
      <c r="D255" s="5" t="str">
        <f>IF(A255="","",Summary_big_cities!E48)</f>
        <v/>
      </c>
      <c r="E255" s="5" t="str">
        <f>IF(A255="","",Summary_big_cities!G48)</f>
        <v/>
      </c>
      <c r="F255" s="4" t="str">
        <f>IF(A255="","",Summary_big_cities!F48)</f>
        <v/>
      </c>
      <c r="G255" s="3" t="str">
        <f>IF(A255="","",Summary_big_cities!T48)</f>
        <v/>
      </c>
      <c r="H255" s="3" t="str">
        <f>IF(A255="","",Summary_big_cities!U48)</f>
        <v/>
      </c>
      <c r="I255" s="3" t="str">
        <f>IF(A255="","",Summary_big_cities!V48)</f>
        <v/>
      </c>
      <c r="J255" s="2" t="str">
        <f>IF(A255="","",IF(Summary_big_cities!O48&lt;&gt;0,IF(ISERROR(SEARCH("LSA",Summary_big_cities!O48)=TRUE),IF(ISERROR(SEARCH("NA",Summary_big_cities!O48)=TRUE),"Sensitive","Normal"),"Less sensitive"),""))</f>
        <v/>
      </c>
    </row>
    <row r="256" spans="1:10" x14ac:dyDescent="0.2">
      <c r="A256" s="6" t="str">
        <f>IF(Summary_big_cities!B49&lt;&gt;0,Summary_big_cities!B49,IF(Summary_big_cities!S49&lt;&gt;0,Summary_big_cities!S49,""))</f>
        <v/>
      </c>
      <c r="B256" s="6" t="str">
        <f>IF(A256="","",IF(Summary_big_cities!A49&lt;&gt;0,Summary_big_cities!A49,Summary_big_cities!R49))</f>
        <v/>
      </c>
      <c r="C256" s="5" t="str">
        <f>IF(A256="","",Summary_big_cities!C49)</f>
        <v/>
      </c>
      <c r="D256" s="5" t="str">
        <f>IF(A256="","",Summary_big_cities!E49)</f>
        <v/>
      </c>
      <c r="E256" s="5" t="str">
        <f>IF(A256="","",Summary_big_cities!G49)</f>
        <v/>
      </c>
      <c r="F256" s="4" t="str">
        <f>IF(A256="","",Summary_big_cities!F49)</f>
        <v/>
      </c>
      <c r="G256" s="3" t="str">
        <f>IF(A256="","",Summary_big_cities!T49)</f>
        <v/>
      </c>
      <c r="H256" s="3" t="str">
        <f>IF(A256="","",Summary_big_cities!U49)</f>
        <v/>
      </c>
      <c r="I256" s="3" t="str">
        <f>IF(A256="","",Summary_big_cities!V49)</f>
        <v/>
      </c>
      <c r="J256" s="2" t="str">
        <f>IF(A256="","",IF(Summary_big_cities!O49&lt;&gt;0,IF(ISERROR(SEARCH("LSA",Summary_big_cities!O49)=TRUE),IF(ISERROR(SEARCH("NA",Summary_big_cities!O49)=TRUE),"Sensitive","Normal"),"Less sensitive"),""))</f>
        <v/>
      </c>
    </row>
    <row r="257" spans="1:10" x14ac:dyDescent="0.2">
      <c r="A257" s="6" t="str">
        <f>IF(Summary_big_cities!B50&lt;&gt;0,Summary_big_cities!B50,IF(Summary_big_cities!S50&lt;&gt;0,Summary_big_cities!S50,""))</f>
        <v/>
      </c>
      <c r="B257" s="6" t="str">
        <f>IF(A257="","",IF(Summary_big_cities!A50&lt;&gt;0,Summary_big_cities!A50,Summary_big_cities!R50))</f>
        <v/>
      </c>
      <c r="C257" s="5" t="str">
        <f>IF(A257="","",Summary_big_cities!C50)</f>
        <v/>
      </c>
      <c r="D257" s="5" t="str">
        <f>IF(A257="","",Summary_big_cities!E50)</f>
        <v/>
      </c>
      <c r="E257" s="5" t="str">
        <f>IF(A257="","",Summary_big_cities!G50)</f>
        <v/>
      </c>
      <c r="F257" s="4" t="str">
        <f>IF(A257="","",Summary_big_cities!F50)</f>
        <v/>
      </c>
      <c r="G257" s="3" t="str">
        <f>IF(A257="","",Summary_big_cities!T50)</f>
        <v/>
      </c>
      <c r="H257" s="3" t="str">
        <f>IF(A257="","",Summary_big_cities!U50)</f>
        <v/>
      </c>
      <c r="I257" s="3" t="str">
        <f>IF(A257="","",Summary_big_cities!V50)</f>
        <v/>
      </c>
      <c r="J257" s="2" t="str">
        <f>IF(A257="","",IF(Summary_big_cities!O50&lt;&gt;0,IF(ISERROR(SEARCH("LSA",Summary_big_cities!O50)=TRUE),IF(ISERROR(SEARCH("NA",Summary_big_cities!O50)=TRUE),"Sensitive","Normal"),"Less sensitive"),""))</f>
        <v/>
      </c>
    </row>
    <row r="258" spans="1:10" x14ac:dyDescent="0.2">
      <c r="A258" s="6" t="str">
        <f>IF(Summary_big_cities!B51&lt;&gt;0,Summary_big_cities!B51,IF(Summary_big_cities!S51&lt;&gt;0,Summary_big_cities!S51,""))</f>
        <v/>
      </c>
      <c r="B258" s="6" t="str">
        <f>IF(A258="","",IF(Summary_big_cities!A51&lt;&gt;0,Summary_big_cities!A51,Summary_big_cities!R51))</f>
        <v/>
      </c>
      <c r="C258" s="5" t="str">
        <f>IF(A258="","",Summary_big_cities!C51)</f>
        <v/>
      </c>
      <c r="D258" s="5" t="str">
        <f>IF(A258="","",Summary_big_cities!E51)</f>
        <v/>
      </c>
      <c r="E258" s="5" t="str">
        <f>IF(A258="","",Summary_big_cities!G51)</f>
        <v/>
      </c>
      <c r="F258" s="4" t="str">
        <f>IF(A258="","",Summary_big_cities!F51)</f>
        <v/>
      </c>
      <c r="G258" s="3" t="str">
        <f>IF(A258="","",Summary_big_cities!T51)</f>
        <v/>
      </c>
      <c r="H258" s="3" t="str">
        <f>IF(A258="","",Summary_big_cities!U51)</f>
        <v/>
      </c>
      <c r="I258" s="3" t="str">
        <f>IF(A258="","",Summary_big_cities!V51)</f>
        <v/>
      </c>
      <c r="J258" s="2" t="str">
        <f>IF(A258="","",IF(Summary_big_cities!O51&lt;&gt;0,IF(ISERROR(SEARCH("LSA",Summary_big_cities!O51)=TRUE),IF(ISERROR(SEARCH("NA",Summary_big_cities!O51)=TRUE),"Sensitive","Normal"),"Less sensitive"),""))</f>
        <v/>
      </c>
    </row>
    <row r="259" spans="1:10" x14ac:dyDescent="0.2">
      <c r="A259" s="6" t="str">
        <f>IF(Summary_big_cities!B52&lt;&gt;0,Summary_big_cities!B52,IF(Summary_big_cities!S52&lt;&gt;0,Summary_big_cities!S52,""))</f>
        <v/>
      </c>
      <c r="B259" s="6" t="str">
        <f>IF(A259="","",IF(Summary_big_cities!A52&lt;&gt;0,Summary_big_cities!A52,Summary_big_cities!R52))</f>
        <v/>
      </c>
      <c r="C259" s="5" t="str">
        <f>IF(A259="","",Summary_big_cities!C52)</f>
        <v/>
      </c>
      <c r="D259" s="5" t="str">
        <f>IF(A259="","",Summary_big_cities!E52)</f>
        <v/>
      </c>
      <c r="E259" s="5" t="str">
        <f>IF(A259="","",Summary_big_cities!G52)</f>
        <v/>
      </c>
      <c r="F259" s="4" t="str">
        <f>IF(A259="","",Summary_big_cities!F52)</f>
        <v/>
      </c>
      <c r="G259" s="3" t="str">
        <f>IF(A259="","",Summary_big_cities!T52)</f>
        <v/>
      </c>
      <c r="H259" s="3" t="str">
        <f>IF(A259="","",Summary_big_cities!U52)</f>
        <v/>
      </c>
      <c r="I259" s="3" t="str">
        <f>IF(A259="","",Summary_big_cities!V52)</f>
        <v/>
      </c>
      <c r="J259" s="2" t="str">
        <f>IF(A259="","",IF(Summary_big_cities!O52&lt;&gt;0,IF(ISERROR(SEARCH("LSA",Summary_big_cities!O52)=TRUE),IF(ISERROR(SEARCH("NA",Summary_big_cities!O52)=TRUE),"Sensitive","Normal"),"Less sensitive"),""))</f>
        <v/>
      </c>
    </row>
    <row r="260" spans="1:10" x14ac:dyDescent="0.2">
      <c r="A260" s="6" t="str">
        <f>IF(Summary_big_cities!B53&lt;&gt;0,Summary_big_cities!B53,IF(Summary_big_cities!S53&lt;&gt;0,Summary_big_cities!S53,""))</f>
        <v/>
      </c>
      <c r="B260" s="6" t="str">
        <f>IF(A260="","",IF(Summary_big_cities!A53&lt;&gt;0,Summary_big_cities!A53,Summary_big_cities!R53))</f>
        <v/>
      </c>
      <c r="C260" s="5" t="str">
        <f>IF(A260="","",Summary_big_cities!C53)</f>
        <v/>
      </c>
      <c r="D260" s="5" t="str">
        <f>IF(A260="","",Summary_big_cities!E53)</f>
        <v/>
      </c>
      <c r="E260" s="5" t="str">
        <f>IF(A260="","",Summary_big_cities!G53)</f>
        <v/>
      </c>
      <c r="F260" s="4" t="str">
        <f>IF(A260="","",Summary_big_cities!F53)</f>
        <v/>
      </c>
      <c r="G260" s="3" t="str">
        <f>IF(A260="","",Summary_big_cities!T53)</f>
        <v/>
      </c>
      <c r="H260" s="3" t="str">
        <f>IF(A260="","",Summary_big_cities!U53)</f>
        <v/>
      </c>
      <c r="I260" s="3" t="str">
        <f>IF(A260="","",Summary_big_cities!V53)</f>
        <v/>
      </c>
      <c r="J260" s="2" t="str">
        <f>IF(A260="","",IF(Summary_big_cities!O53&lt;&gt;0,IF(ISERROR(SEARCH("LSA",Summary_big_cities!O53)=TRUE),IF(ISERROR(SEARCH("NA",Summary_big_cities!O53)=TRUE),"Sensitive","Normal"),"Less sensitive"),""))</f>
        <v/>
      </c>
    </row>
    <row r="261" spans="1:10" x14ac:dyDescent="0.2">
      <c r="A261" s="6" t="str">
        <f>IF(Summary_big_cities!B54&lt;&gt;0,Summary_big_cities!B54,IF(Summary_big_cities!S54&lt;&gt;0,Summary_big_cities!S54,""))</f>
        <v/>
      </c>
      <c r="B261" s="6" t="str">
        <f>IF(A261="","",IF(Summary_big_cities!A54&lt;&gt;0,Summary_big_cities!A54,Summary_big_cities!R54))</f>
        <v/>
      </c>
      <c r="C261" s="5" t="str">
        <f>IF(A261="","",Summary_big_cities!C54)</f>
        <v/>
      </c>
      <c r="D261" s="5" t="str">
        <f>IF(A261="","",Summary_big_cities!E54)</f>
        <v/>
      </c>
      <c r="E261" s="5" t="str">
        <f>IF(A261="","",Summary_big_cities!G54)</f>
        <v/>
      </c>
      <c r="F261" s="4" t="str">
        <f>IF(A261="","",Summary_big_cities!F54)</f>
        <v/>
      </c>
      <c r="G261" s="3" t="str">
        <f>IF(A261="","",Summary_big_cities!T54)</f>
        <v/>
      </c>
      <c r="H261" s="3" t="str">
        <f>IF(A261="","",Summary_big_cities!U54)</f>
        <v/>
      </c>
      <c r="I261" s="3" t="str">
        <f>IF(A261="","",Summary_big_cities!V54)</f>
        <v/>
      </c>
      <c r="J261" s="2" t="str">
        <f>IF(A261="","",IF(Summary_big_cities!O54&lt;&gt;0,IF(ISERROR(SEARCH("LSA",Summary_big_cities!O54)=TRUE),IF(ISERROR(SEARCH("NA",Summary_big_cities!O54)=TRUE),"Sensitive","Normal"),"Less sensitive"),""))</f>
        <v/>
      </c>
    </row>
    <row r="262" spans="1:10" x14ac:dyDescent="0.2">
      <c r="A262" s="6" t="str">
        <f>IF(Summary_big_cities!B55&lt;&gt;0,Summary_big_cities!B55,IF(Summary_big_cities!S55&lt;&gt;0,Summary_big_cities!S55,""))</f>
        <v/>
      </c>
      <c r="B262" s="6" t="str">
        <f>IF(A262="","",IF(Summary_big_cities!A55&lt;&gt;0,Summary_big_cities!A55,Summary_big_cities!R55))</f>
        <v/>
      </c>
      <c r="C262" s="5" t="str">
        <f>IF(A262="","",Summary_big_cities!C55)</f>
        <v/>
      </c>
      <c r="D262" s="5" t="str">
        <f>IF(A262="","",Summary_big_cities!E55)</f>
        <v/>
      </c>
      <c r="E262" s="5" t="str">
        <f>IF(A262="","",Summary_big_cities!G55)</f>
        <v/>
      </c>
      <c r="F262" s="4" t="str">
        <f>IF(A262="","",Summary_big_cities!F55)</f>
        <v/>
      </c>
      <c r="G262" s="3" t="str">
        <f>IF(A262="","",Summary_big_cities!T55)</f>
        <v/>
      </c>
      <c r="H262" s="3" t="str">
        <f>IF(A262="","",Summary_big_cities!U55)</f>
        <v/>
      </c>
      <c r="I262" s="3" t="str">
        <f>IF(A262="","",Summary_big_cities!V55)</f>
        <v/>
      </c>
      <c r="J262" s="2" t="str">
        <f>IF(A262="","",IF(Summary_big_cities!O55&lt;&gt;0,IF(ISERROR(SEARCH("LSA",Summary_big_cities!O55)=TRUE),IF(ISERROR(SEARCH("NA",Summary_big_cities!O55)=TRUE),"Sensitive","Normal"),"Less sensitive"),""))</f>
        <v/>
      </c>
    </row>
    <row r="263" spans="1:10" x14ac:dyDescent="0.2">
      <c r="A263" s="6" t="str">
        <f>IF(Summary_big_cities!B56&lt;&gt;0,Summary_big_cities!B56,IF(Summary_big_cities!S56&lt;&gt;0,Summary_big_cities!S56,""))</f>
        <v/>
      </c>
      <c r="B263" s="6" t="str">
        <f>IF(A263="","",IF(Summary_big_cities!A56&lt;&gt;0,Summary_big_cities!A56,Summary_big_cities!R56))</f>
        <v/>
      </c>
      <c r="C263" s="5" t="str">
        <f>IF(A263="","",Summary_big_cities!C56)</f>
        <v/>
      </c>
      <c r="D263" s="5" t="str">
        <f>IF(A263="","",Summary_big_cities!E56)</f>
        <v/>
      </c>
      <c r="E263" s="5" t="str">
        <f>IF(A263="","",Summary_big_cities!G56)</f>
        <v/>
      </c>
      <c r="F263" s="4" t="str">
        <f>IF(A263="","",Summary_big_cities!F56)</f>
        <v/>
      </c>
      <c r="G263" s="3" t="str">
        <f>IF(A263="","",Summary_big_cities!T56)</f>
        <v/>
      </c>
      <c r="H263" s="3" t="str">
        <f>IF(A263="","",Summary_big_cities!U56)</f>
        <v/>
      </c>
      <c r="I263" s="3" t="str">
        <f>IF(A263="","",Summary_big_cities!V56)</f>
        <v/>
      </c>
      <c r="J263" s="2" t="str">
        <f>IF(A263="","",IF(Summary_big_cities!O56&lt;&gt;0,IF(ISERROR(SEARCH("LSA",Summary_big_cities!O56)=TRUE),IF(ISERROR(SEARCH("NA",Summary_big_cities!O56)=TRUE),"Sensitive","Normal"),"Less sensitive"),""))</f>
        <v/>
      </c>
    </row>
    <row r="264" spans="1:10" x14ac:dyDescent="0.2">
      <c r="A264" s="6" t="str">
        <f>IF(Summary_big_cities!B57&lt;&gt;0,Summary_big_cities!B57,IF(Summary_big_cities!S57&lt;&gt;0,Summary_big_cities!S57,""))</f>
        <v/>
      </c>
      <c r="B264" s="6" t="str">
        <f>IF(A264="","",IF(Summary_big_cities!A57&lt;&gt;0,Summary_big_cities!A57,Summary_big_cities!R57))</f>
        <v/>
      </c>
      <c r="C264" s="5" t="str">
        <f>IF(A264="","",Summary_big_cities!C57)</f>
        <v/>
      </c>
      <c r="D264" s="5" t="str">
        <f>IF(A264="","",Summary_big_cities!E57)</f>
        <v/>
      </c>
      <c r="E264" s="5" t="str">
        <f>IF(A264="","",Summary_big_cities!G57)</f>
        <v/>
      </c>
      <c r="F264" s="4" t="str">
        <f>IF(A264="","",Summary_big_cities!F57)</f>
        <v/>
      </c>
      <c r="G264" s="3" t="str">
        <f>IF(A264="","",Summary_big_cities!T57)</f>
        <v/>
      </c>
      <c r="H264" s="3" t="str">
        <f>IF(A264="","",Summary_big_cities!U57)</f>
        <v/>
      </c>
      <c r="I264" s="3" t="str">
        <f>IF(A264="","",Summary_big_cities!V57)</f>
        <v/>
      </c>
      <c r="J264" s="2" t="str">
        <f>IF(A264="","",IF(Summary_big_cities!O57&lt;&gt;0,IF(ISERROR(SEARCH("LSA",Summary_big_cities!O57)=TRUE),IF(ISERROR(SEARCH("NA",Summary_big_cities!O57)=TRUE),"Sensitive","Normal"),"Less sensitive"),""))</f>
        <v/>
      </c>
    </row>
    <row r="265" spans="1:10" x14ac:dyDescent="0.2">
      <c r="A265" s="6" t="str">
        <f>IF(Summary_big_cities!B58&lt;&gt;0,Summary_big_cities!B58,IF(Summary_big_cities!S58&lt;&gt;0,Summary_big_cities!S58,""))</f>
        <v/>
      </c>
      <c r="B265" s="6" t="str">
        <f>IF(A265="","",IF(Summary_big_cities!A58&lt;&gt;0,Summary_big_cities!A58,Summary_big_cities!R58))</f>
        <v/>
      </c>
      <c r="C265" s="5" t="str">
        <f>IF(A265="","",Summary_big_cities!C58)</f>
        <v/>
      </c>
      <c r="D265" s="5" t="str">
        <f>IF(A265="","",Summary_big_cities!E58)</f>
        <v/>
      </c>
      <c r="E265" s="5" t="str">
        <f>IF(A265="","",Summary_big_cities!G58)</f>
        <v/>
      </c>
      <c r="F265" s="4" t="str">
        <f>IF(A265="","",Summary_big_cities!F58)</f>
        <v/>
      </c>
      <c r="G265" s="3" t="str">
        <f>IF(A265="","",Summary_big_cities!T58)</f>
        <v/>
      </c>
      <c r="H265" s="3" t="str">
        <f>IF(A265="","",Summary_big_cities!U58)</f>
        <v/>
      </c>
      <c r="I265" s="3" t="str">
        <f>IF(A265="","",Summary_big_cities!V58)</f>
        <v/>
      </c>
      <c r="J265" s="2" t="str">
        <f>IF(A265="","",IF(Summary_big_cities!O58&lt;&gt;0,IF(ISERROR(SEARCH("LSA",Summary_big_cities!O58)=TRUE),IF(ISERROR(SEARCH("NA",Summary_big_cities!O58)=TRUE),"Sensitive","Normal"),"Less sensitive"),""))</f>
        <v/>
      </c>
    </row>
    <row r="266" spans="1:10" x14ac:dyDescent="0.2">
      <c r="A266" s="6" t="str">
        <f>IF(Summary_big_cities!B59&lt;&gt;0,Summary_big_cities!B59,IF(Summary_big_cities!S59&lt;&gt;0,Summary_big_cities!S59,""))</f>
        <v/>
      </c>
      <c r="B266" s="6" t="str">
        <f>IF(A266="","",IF(Summary_big_cities!A59&lt;&gt;0,Summary_big_cities!A59,Summary_big_cities!R59))</f>
        <v/>
      </c>
      <c r="C266" s="5" t="str">
        <f>IF(A266="","",Summary_big_cities!C59)</f>
        <v/>
      </c>
      <c r="D266" s="5" t="str">
        <f>IF(A266="","",Summary_big_cities!E59)</f>
        <v/>
      </c>
      <c r="E266" s="5" t="str">
        <f>IF(A266="","",Summary_big_cities!G59)</f>
        <v/>
      </c>
      <c r="F266" s="4" t="str">
        <f>IF(A266="","",Summary_big_cities!F59)</f>
        <v/>
      </c>
      <c r="G266" s="3" t="str">
        <f>IF(A266="","",Summary_big_cities!T59)</f>
        <v/>
      </c>
      <c r="H266" s="3" t="str">
        <f>IF(A266="","",Summary_big_cities!U59)</f>
        <v/>
      </c>
      <c r="I266" s="3" t="str">
        <f>IF(A266="","",Summary_big_cities!V59)</f>
        <v/>
      </c>
      <c r="J266" s="2" t="str">
        <f>IF(A266="","",IF(Summary_big_cities!O59&lt;&gt;0,IF(ISERROR(SEARCH("LSA",Summary_big_cities!O59)=TRUE),IF(ISERROR(SEARCH("NA",Summary_big_cities!O59)=TRUE),"Sensitive","Normal"),"Less sensitive"),""))</f>
        <v/>
      </c>
    </row>
    <row r="267" spans="1:10" x14ac:dyDescent="0.2">
      <c r="A267" s="6" t="str">
        <f>IF(Summary_big_cities!B60&lt;&gt;0,Summary_big_cities!B60,IF(Summary_big_cities!S60&lt;&gt;0,Summary_big_cities!S60,""))</f>
        <v/>
      </c>
      <c r="B267" s="6" t="str">
        <f>IF(A267="","",IF(Summary_big_cities!A60&lt;&gt;0,Summary_big_cities!A60,Summary_big_cities!R60))</f>
        <v/>
      </c>
      <c r="C267" s="5" t="str">
        <f>IF(A267="","",Summary_big_cities!C60)</f>
        <v/>
      </c>
      <c r="D267" s="5" t="str">
        <f>IF(A267="","",Summary_big_cities!E60)</f>
        <v/>
      </c>
      <c r="E267" s="5" t="str">
        <f>IF(A267="","",Summary_big_cities!G60)</f>
        <v/>
      </c>
      <c r="F267" s="4" t="str">
        <f>IF(A267="","",Summary_big_cities!F60)</f>
        <v/>
      </c>
      <c r="G267" s="3" t="str">
        <f>IF(A267="","",Summary_big_cities!T60)</f>
        <v/>
      </c>
      <c r="H267" s="3" t="str">
        <f>IF(A267="","",Summary_big_cities!U60)</f>
        <v/>
      </c>
      <c r="I267" s="3" t="str">
        <f>IF(A267="","",Summary_big_cities!V60)</f>
        <v/>
      </c>
      <c r="J267" s="2" t="str">
        <f>IF(A267="","",IF(Summary_big_cities!O60&lt;&gt;0,IF(ISERROR(SEARCH("LSA",Summary_big_cities!O60)=TRUE),IF(ISERROR(SEARCH("NA",Summary_big_cities!O60)=TRUE),"Sensitive","Normal"),"Less sensitive"),""))</f>
        <v/>
      </c>
    </row>
    <row r="268" spans="1:10" x14ac:dyDescent="0.2">
      <c r="A268" s="6" t="str">
        <f>IF(Summary_big_cities!B61&lt;&gt;0,Summary_big_cities!B61,IF(Summary_big_cities!S61&lt;&gt;0,Summary_big_cities!S61,""))</f>
        <v/>
      </c>
      <c r="B268" s="6" t="str">
        <f>IF(A268="","",IF(Summary_big_cities!A61&lt;&gt;0,Summary_big_cities!A61,Summary_big_cities!R61))</f>
        <v/>
      </c>
      <c r="C268" s="5" t="str">
        <f>IF(A268="","",Summary_big_cities!C61)</f>
        <v/>
      </c>
      <c r="D268" s="5" t="str">
        <f>IF(A268="","",Summary_big_cities!E61)</f>
        <v/>
      </c>
      <c r="E268" s="5" t="str">
        <f>IF(A268="","",Summary_big_cities!G61)</f>
        <v/>
      </c>
      <c r="F268" s="4" t="str">
        <f>IF(A268="","",Summary_big_cities!F61)</f>
        <v/>
      </c>
      <c r="G268" s="3" t="str">
        <f>IF(A268="","",Summary_big_cities!T61)</f>
        <v/>
      </c>
      <c r="H268" s="3" t="str">
        <f>IF(A268="","",Summary_big_cities!U61)</f>
        <v/>
      </c>
      <c r="I268" s="3" t="str">
        <f>IF(A268="","",Summary_big_cities!V61)</f>
        <v/>
      </c>
      <c r="J268" s="2" t="str">
        <f>IF(A268="","",IF(Summary_big_cities!O61&lt;&gt;0,IF(ISERROR(SEARCH("LSA",Summary_big_cities!O61)=TRUE),IF(ISERROR(SEARCH("NA",Summary_big_cities!O61)=TRUE),"Sensitive","Normal"),"Less sensitive"),""))</f>
        <v/>
      </c>
    </row>
    <row r="269" spans="1:10" x14ac:dyDescent="0.2">
      <c r="A269" s="6" t="str">
        <f>IF(Summary_big_cities!B62&lt;&gt;0,Summary_big_cities!B62,IF(Summary_big_cities!S62&lt;&gt;0,Summary_big_cities!S62,""))</f>
        <v/>
      </c>
      <c r="B269" s="6" t="str">
        <f>IF(A269="","",IF(Summary_big_cities!A62&lt;&gt;0,Summary_big_cities!A62,Summary_big_cities!R62))</f>
        <v/>
      </c>
      <c r="C269" s="5" t="str">
        <f>IF(A269="","",Summary_big_cities!C62)</f>
        <v/>
      </c>
      <c r="D269" s="5" t="str">
        <f>IF(A269="","",Summary_big_cities!E62)</f>
        <v/>
      </c>
      <c r="E269" s="5" t="str">
        <f>IF(A269="","",Summary_big_cities!G62)</f>
        <v/>
      </c>
      <c r="F269" s="4" t="str">
        <f>IF(A269="","",Summary_big_cities!F62)</f>
        <v/>
      </c>
      <c r="G269" s="3" t="str">
        <f>IF(A269="","",Summary_big_cities!T62)</f>
        <v/>
      </c>
      <c r="H269" s="3" t="str">
        <f>IF(A269="","",Summary_big_cities!U62)</f>
        <v/>
      </c>
      <c r="I269" s="3" t="str">
        <f>IF(A269="","",Summary_big_cities!V62)</f>
        <v/>
      </c>
      <c r="J269" s="2" t="str">
        <f>IF(A269="","",IF(Summary_big_cities!O62&lt;&gt;0,IF(ISERROR(SEARCH("LSA",Summary_big_cities!O62)=TRUE),IF(ISERROR(SEARCH("NA",Summary_big_cities!O62)=TRUE),"Sensitive","Normal"),"Less sensitive"),""))</f>
        <v/>
      </c>
    </row>
    <row r="270" spans="1:10" x14ac:dyDescent="0.2">
      <c r="A270" s="6" t="str">
        <f>IF(Summary_big_cities!B63&lt;&gt;0,Summary_big_cities!B63,IF(Summary_big_cities!S63&lt;&gt;0,Summary_big_cities!S63,""))</f>
        <v/>
      </c>
      <c r="B270" s="6" t="str">
        <f>IF(A270="","",IF(Summary_big_cities!A63&lt;&gt;0,Summary_big_cities!A63,Summary_big_cities!R63))</f>
        <v/>
      </c>
      <c r="C270" s="5" t="str">
        <f>IF(A270="","",Summary_big_cities!C63)</f>
        <v/>
      </c>
      <c r="D270" s="5" t="str">
        <f>IF(A270="","",Summary_big_cities!E63)</f>
        <v/>
      </c>
      <c r="E270" s="5" t="str">
        <f>IF(A270="","",Summary_big_cities!G63)</f>
        <v/>
      </c>
      <c r="F270" s="4" t="str">
        <f>IF(A270="","",Summary_big_cities!F63)</f>
        <v/>
      </c>
      <c r="G270" s="3" t="str">
        <f>IF(A270="","",Summary_big_cities!T63)</f>
        <v/>
      </c>
      <c r="H270" s="3" t="str">
        <f>IF(A270="","",Summary_big_cities!U63)</f>
        <v/>
      </c>
      <c r="I270" s="3" t="str">
        <f>IF(A270="","",Summary_big_cities!V63)</f>
        <v/>
      </c>
      <c r="J270" s="2" t="str">
        <f>IF(A270="","",IF(Summary_big_cities!O63&lt;&gt;0,IF(ISERROR(SEARCH("LSA",Summary_big_cities!O63)=TRUE),IF(ISERROR(SEARCH("NA",Summary_big_cities!O63)=TRUE),"Sensitive","Normal"),"Less sensitive"),""))</f>
        <v/>
      </c>
    </row>
    <row r="271" spans="1:10" x14ac:dyDescent="0.2">
      <c r="A271" s="6" t="str">
        <f>IF(Summary_big_cities!B64&lt;&gt;0,Summary_big_cities!B64,IF(Summary_big_cities!S64&lt;&gt;0,Summary_big_cities!S64,""))</f>
        <v/>
      </c>
      <c r="B271" s="6" t="str">
        <f>IF(A271="","",IF(Summary_big_cities!A64&lt;&gt;0,Summary_big_cities!A64,Summary_big_cities!R64))</f>
        <v/>
      </c>
      <c r="C271" s="5" t="str">
        <f>IF(A271="","",Summary_big_cities!C64)</f>
        <v/>
      </c>
      <c r="D271" s="5" t="str">
        <f>IF(A271="","",Summary_big_cities!E64)</f>
        <v/>
      </c>
      <c r="E271" s="5" t="str">
        <f>IF(A271="","",Summary_big_cities!G64)</f>
        <v/>
      </c>
      <c r="F271" s="4" t="str">
        <f>IF(A271="","",Summary_big_cities!F64)</f>
        <v/>
      </c>
      <c r="G271" s="3" t="str">
        <f>IF(A271="","",Summary_big_cities!T64)</f>
        <v/>
      </c>
      <c r="H271" s="3" t="str">
        <f>IF(A271="","",Summary_big_cities!U64)</f>
        <v/>
      </c>
      <c r="I271" s="3" t="str">
        <f>IF(A271="","",Summary_big_cities!V64)</f>
        <v/>
      </c>
      <c r="J271" s="2" t="str">
        <f>IF(A271="","",IF(Summary_big_cities!O64&lt;&gt;0,IF(ISERROR(SEARCH("LSA",Summary_big_cities!O64)=TRUE),IF(ISERROR(SEARCH("NA",Summary_big_cities!O64)=TRUE),"Sensitive","Normal"),"Less sensitive"),""))</f>
        <v/>
      </c>
    </row>
    <row r="272" spans="1:10" x14ac:dyDescent="0.2">
      <c r="A272" s="6" t="str">
        <f>IF(Summary_big_cities!B65&lt;&gt;0,Summary_big_cities!B65,IF(Summary_big_cities!S65&lt;&gt;0,Summary_big_cities!S65,""))</f>
        <v/>
      </c>
      <c r="B272" s="6" t="str">
        <f>IF(A272="","",IF(Summary_big_cities!A65&lt;&gt;0,Summary_big_cities!A65,Summary_big_cities!R65))</f>
        <v/>
      </c>
      <c r="C272" s="5" t="str">
        <f>IF(A272="","",Summary_big_cities!C65)</f>
        <v/>
      </c>
      <c r="D272" s="5" t="str">
        <f>IF(A272="","",Summary_big_cities!E65)</f>
        <v/>
      </c>
      <c r="E272" s="5" t="str">
        <f>IF(A272="","",Summary_big_cities!G65)</f>
        <v/>
      </c>
      <c r="F272" s="4" t="str">
        <f>IF(A272="","",Summary_big_cities!F65)</f>
        <v/>
      </c>
      <c r="G272" s="3" t="str">
        <f>IF(A272="","",Summary_big_cities!T65)</f>
        <v/>
      </c>
      <c r="H272" s="3" t="str">
        <f>IF(A272="","",Summary_big_cities!U65)</f>
        <v/>
      </c>
      <c r="I272" s="3" t="str">
        <f>IF(A272="","",Summary_big_cities!V65)</f>
        <v/>
      </c>
      <c r="J272" s="2" t="str">
        <f>IF(A272="","",IF(Summary_big_cities!O65&lt;&gt;0,IF(ISERROR(SEARCH("LSA",Summary_big_cities!O65)=TRUE),IF(ISERROR(SEARCH("NA",Summary_big_cities!O65)=TRUE),"Sensitive","Normal"),"Less sensitive"),""))</f>
        <v/>
      </c>
    </row>
    <row r="273" spans="1:10" x14ac:dyDescent="0.2">
      <c r="A273" s="6" t="str">
        <f>IF(Summary_big_cities!B66&lt;&gt;0,Summary_big_cities!B66,IF(Summary_big_cities!S66&lt;&gt;0,Summary_big_cities!S66,""))</f>
        <v/>
      </c>
      <c r="B273" s="6" t="str">
        <f>IF(A273="","",IF(Summary_big_cities!A66&lt;&gt;0,Summary_big_cities!A66,Summary_big_cities!R66))</f>
        <v/>
      </c>
      <c r="C273" s="5" t="str">
        <f>IF(A273="","",Summary_big_cities!C66)</f>
        <v/>
      </c>
      <c r="D273" s="5" t="str">
        <f>IF(A273="","",Summary_big_cities!E66)</f>
        <v/>
      </c>
      <c r="E273" s="5" t="str">
        <f>IF(A273="","",Summary_big_cities!G66)</f>
        <v/>
      </c>
      <c r="F273" s="4" t="str">
        <f>IF(A273="","",Summary_big_cities!F66)</f>
        <v/>
      </c>
      <c r="G273" s="3" t="str">
        <f>IF(A273="","",Summary_big_cities!T66)</f>
        <v/>
      </c>
      <c r="H273" s="3" t="str">
        <f>IF(A273="","",Summary_big_cities!U66)</f>
        <v/>
      </c>
      <c r="I273" s="3" t="str">
        <f>IF(A273="","",Summary_big_cities!V66)</f>
        <v/>
      </c>
      <c r="J273" s="2" t="str">
        <f>IF(A273="","",IF(Summary_big_cities!O66&lt;&gt;0,IF(ISERROR(SEARCH("LSA",Summary_big_cities!O66)=TRUE),IF(ISERROR(SEARCH("NA",Summary_big_cities!O66)=TRUE),"Sensitive","Normal"),"Less sensitive"),""))</f>
        <v/>
      </c>
    </row>
    <row r="274" spans="1:10" x14ac:dyDescent="0.2">
      <c r="A274" s="6" t="str">
        <f>IF(Summary_big_cities!B67&lt;&gt;0,Summary_big_cities!B67,IF(Summary_big_cities!S67&lt;&gt;0,Summary_big_cities!S67,""))</f>
        <v/>
      </c>
      <c r="B274" s="6" t="str">
        <f>IF(A274="","",IF(Summary_big_cities!A67&lt;&gt;0,Summary_big_cities!A67,Summary_big_cities!R67))</f>
        <v/>
      </c>
      <c r="C274" s="5" t="str">
        <f>IF(A274="","",Summary_big_cities!C67)</f>
        <v/>
      </c>
      <c r="D274" s="5" t="str">
        <f>IF(A274="","",Summary_big_cities!E67)</f>
        <v/>
      </c>
      <c r="E274" s="5" t="str">
        <f>IF(A274="","",Summary_big_cities!G67)</f>
        <v/>
      </c>
      <c r="F274" s="4" t="str">
        <f>IF(A274="","",Summary_big_cities!F67)</f>
        <v/>
      </c>
      <c r="G274" s="3" t="str">
        <f>IF(A274="","",Summary_big_cities!T67)</f>
        <v/>
      </c>
      <c r="H274" s="3" t="str">
        <f>IF(A274="","",Summary_big_cities!U67)</f>
        <v/>
      </c>
      <c r="I274" s="3" t="str">
        <f>IF(A274="","",Summary_big_cities!V67)</f>
        <v/>
      </c>
      <c r="J274" s="2" t="str">
        <f>IF(A274="","",IF(Summary_big_cities!O67&lt;&gt;0,IF(ISERROR(SEARCH("LSA",Summary_big_cities!O67)=TRUE),IF(ISERROR(SEARCH("NA",Summary_big_cities!O67)=TRUE),"Sensitive","Normal"),"Less sensitive"),""))</f>
        <v/>
      </c>
    </row>
    <row r="275" spans="1:10" x14ac:dyDescent="0.2">
      <c r="A275" s="6" t="str">
        <f>IF(Summary_big_cities!B68&lt;&gt;0,Summary_big_cities!B68,IF(Summary_big_cities!S68&lt;&gt;0,Summary_big_cities!S68,""))</f>
        <v/>
      </c>
      <c r="B275" s="6" t="str">
        <f>IF(A275="","",IF(Summary_big_cities!A68&lt;&gt;0,Summary_big_cities!A68,Summary_big_cities!R68))</f>
        <v/>
      </c>
      <c r="C275" s="5" t="str">
        <f>IF(A275="","",Summary_big_cities!C68)</f>
        <v/>
      </c>
      <c r="D275" s="5" t="str">
        <f>IF(A275="","",Summary_big_cities!E68)</f>
        <v/>
      </c>
      <c r="E275" s="5" t="str">
        <f>IF(A275="","",Summary_big_cities!G68)</f>
        <v/>
      </c>
      <c r="F275" s="4" t="str">
        <f>IF(A275="","",Summary_big_cities!F68)</f>
        <v/>
      </c>
      <c r="G275" s="3" t="str">
        <f>IF(A275="","",Summary_big_cities!T68)</f>
        <v/>
      </c>
      <c r="H275" s="3" t="str">
        <f>IF(A275="","",Summary_big_cities!U68)</f>
        <v/>
      </c>
      <c r="I275" s="3" t="str">
        <f>IF(A275="","",Summary_big_cities!V68)</f>
        <v/>
      </c>
      <c r="J275" s="2" t="str">
        <f>IF(A275="","",IF(Summary_big_cities!O68&lt;&gt;0,IF(ISERROR(SEARCH("LSA",Summary_big_cities!O68)=TRUE),IF(ISERROR(SEARCH("NA",Summary_big_cities!O68)=TRUE),"Sensitive","Normal"),"Less sensitive"),""))</f>
        <v/>
      </c>
    </row>
    <row r="276" spans="1:10" x14ac:dyDescent="0.2">
      <c r="A276" s="6" t="str">
        <f>IF(Summary_big_cities!B69&lt;&gt;0,Summary_big_cities!B69,IF(Summary_big_cities!S69&lt;&gt;0,Summary_big_cities!S69,""))</f>
        <v/>
      </c>
      <c r="B276" s="6" t="str">
        <f>IF(A276="","",IF(Summary_big_cities!A69&lt;&gt;0,Summary_big_cities!A69,Summary_big_cities!R69))</f>
        <v/>
      </c>
      <c r="C276" s="5" t="str">
        <f>IF(A276="","",Summary_big_cities!C69)</f>
        <v/>
      </c>
      <c r="D276" s="5" t="str">
        <f>IF(A276="","",Summary_big_cities!E69)</f>
        <v/>
      </c>
      <c r="E276" s="5" t="str">
        <f>IF(A276="","",Summary_big_cities!G69)</f>
        <v/>
      </c>
      <c r="F276" s="4" t="str">
        <f>IF(A276="","",Summary_big_cities!F69)</f>
        <v/>
      </c>
      <c r="G276" s="3" t="str">
        <f>IF(A276="","",Summary_big_cities!T69)</f>
        <v/>
      </c>
      <c r="H276" s="3" t="str">
        <f>IF(A276="","",Summary_big_cities!U69)</f>
        <v/>
      </c>
      <c r="I276" s="3" t="str">
        <f>IF(A276="","",Summary_big_cities!V69)</f>
        <v/>
      </c>
      <c r="J276" s="2" t="str">
        <f>IF(A276="","",IF(Summary_big_cities!O69&lt;&gt;0,IF(ISERROR(SEARCH("LSA",Summary_big_cities!O69)=TRUE),IF(ISERROR(SEARCH("NA",Summary_big_cities!O69)=TRUE),"Sensitive","Normal"),"Less sensitive"),""))</f>
        <v/>
      </c>
    </row>
    <row r="277" spans="1:10" x14ac:dyDescent="0.2">
      <c r="A277" s="6" t="str">
        <f>IF(Summary_big_cities!B70&lt;&gt;0,Summary_big_cities!B70,IF(Summary_big_cities!S70&lt;&gt;0,Summary_big_cities!S70,""))</f>
        <v/>
      </c>
      <c r="B277" s="6" t="str">
        <f>IF(A277="","",IF(Summary_big_cities!A70&lt;&gt;0,Summary_big_cities!A70,Summary_big_cities!R70))</f>
        <v/>
      </c>
      <c r="C277" s="5" t="str">
        <f>IF(A277="","",Summary_big_cities!C70)</f>
        <v/>
      </c>
      <c r="D277" s="5" t="str">
        <f>IF(A277="","",Summary_big_cities!E70)</f>
        <v/>
      </c>
      <c r="E277" s="5" t="str">
        <f>IF(A277="","",Summary_big_cities!G70)</f>
        <v/>
      </c>
      <c r="F277" s="4" t="str">
        <f>IF(A277="","",Summary_big_cities!F70)</f>
        <v/>
      </c>
      <c r="G277" s="3" t="str">
        <f>IF(A277="","",Summary_big_cities!T70)</f>
        <v/>
      </c>
      <c r="H277" s="3" t="str">
        <f>IF(A277="","",Summary_big_cities!U70)</f>
        <v/>
      </c>
      <c r="I277" s="3" t="str">
        <f>IF(A277="","",Summary_big_cities!V70)</f>
        <v/>
      </c>
      <c r="J277" s="2" t="str">
        <f>IF(A277="","",IF(Summary_big_cities!O70&lt;&gt;0,IF(ISERROR(SEARCH("LSA",Summary_big_cities!O70)=TRUE),IF(ISERROR(SEARCH("NA",Summary_big_cities!O70)=TRUE),"Sensitive","Normal"),"Less sensitive"),""))</f>
        <v/>
      </c>
    </row>
    <row r="278" spans="1:10" x14ac:dyDescent="0.2">
      <c r="A278" s="6" t="str">
        <f>IF(Summary_big_cities!B71&lt;&gt;0,Summary_big_cities!B71,IF(Summary_big_cities!S71&lt;&gt;0,Summary_big_cities!S71,""))</f>
        <v/>
      </c>
      <c r="B278" s="6" t="str">
        <f>IF(A278="","",IF(Summary_big_cities!A71&lt;&gt;0,Summary_big_cities!A71,Summary_big_cities!R71))</f>
        <v/>
      </c>
      <c r="C278" s="5" t="str">
        <f>IF(A278="","",Summary_big_cities!C71)</f>
        <v/>
      </c>
      <c r="D278" s="5" t="str">
        <f>IF(A278="","",Summary_big_cities!E71)</f>
        <v/>
      </c>
      <c r="E278" s="5" t="str">
        <f>IF(A278="","",Summary_big_cities!G71)</f>
        <v/>
      </c>
      <c r="F278" s="4" t="str">
        <f>IF(A278="","",Summary_big_cities!F71)</f>
        <v/>
      </c>
      <c r="G278" s="3" t="str">
        <f>IF(A278="","",Summary_big_cities!T71)</f>
        <v/>
      </c>
      <c r="H278" s="3" t="str">
        <f>IF(A278="","",Summary_big_cities!U71)</f>
        <v/>
      </c>
      <c r="I278" s="3" t="str">
        <f>IF(A278="","",Summary_big_cities!V71)</f>
        <v/>
      </c>
      <c r="J278" s="2" t="str">
        <f>IF(A278="","",IF(Summary_big_cities!O71&lt;&gt;0,IF(ISERROR(SEARCH("LSA",Summary_big_cities!O71)=TRUE),IF(ISERROR(SEARCH("NA",Summary_big_cities!O71)=TRUE),"Sensitive","Normal"),"Less sensitive"),""))</f>
        <v/>
      </c>
    </row>
    <row r="279" spans="1:10" x14ac:dyDescent="0.2">
      <c r="A279" s="6" t="str">
        <f>IF(Summary_big_cities!B72&lt;&gt;0,Summary_big_cities!B72,IF(Summary_big_cities!S72&lt;&gt;0,Summary_big_cities!S72,""))</f>
        <v/>
      </c>
      <c r="B279" s="6" t="str">
        <f>IF(A279="","",IF(Summary_big_cities!A72&lt;&gt;0,Summary_big_cities!A72,Summary_big_cities!R72))</f>
        <v/>
      </c>
      <c r="C279" s="5" t="str">
        <f>IF(A279="","",Summary_big_cities!C72)</f>
        <v/>
      </c>
      <c r="D279" s="5" t="str">
        <f>IF(A279="","",Summary_big_cities!E72)</f>
        <v/>
      </c>
      <c r="E279" s="5" t="str">
        <f>IF(A279="","",Summary_big_cities!G72)</f>
        <v/>
      </c>
      <c r="F279" s="4" t="str">
        <f>IF(A279="","",Summary_big_cities!F72)</f>
        <v/>
      </c>
      <c r="G279" s="3" t="str">
        <f>IF(A279="","",Summary_big_cities!T72)</f>
        <v/>
      </c>
      <c r="H279" s="3" t="str">
        <f>IF(A279="","",Summary_big_cities!U72)</f>
        <v/>
      </c>
      <c r="I279" s="3" t="str">
        <f>IF(A279="","",Summary_big_cities!V72)</f>
        <v/>
      </c>
      <c r="J279" s="2" t="str">
        <f>IF(A279="","",IF(Summary_big_cities!O72&lt;&gt;0,IF(ISERROR(SEARCH("LSA",Summary_big_cities!O72)=TRUE),IF(ISERROR(SEARCH("NA",Summary_big_cities!O72)=TRUE),"Sensitive","Normal"),"Less sensitive"),""))</f>
        <v/>
      </c>
    </row>
    <row r="280" spans="1:10" x14ac:dyDescent="0.2">
      <c r="A280" s="6" t="str">
        <f>IF(Summary_big_cities!B73&lt;&gt;0,Summary_big_cities!B73,IF(Summary_big_cities!S73&lt;&gt;0,Summary_big_cities!S73,""))</f>
        <v/>
      </c>
      <c r="B280" s="6" t="str">
        <f>IF(A280="","",IF(Summary_big_cities!A73&lt;&gt;0,Summary_big_cities!A73,Summary_big_cities!R73))</f>
        <v/>
      </c>
      <c r="C280" s="5" t="str">
        <f>IF(A280="","",Summary_big_cities!C73)</f>
        <v/>
      </c>
      <c r="D280" s="5" t="str">
        <f>IF(A280="","",Summary_big_cities!E73)</f>
        <v/>
      </c>
      <c r="E280" s="5" t="str">
        <f>IF(A280="","",Summary_big_cities!G73)</f>
        <v/>
      </c>
      <c r="F280" s="4" t="str">
        <f>IF(A280="","",Summary_big_cities!F73)</f>
        <v/>
      </c>
      <c r="G280" s="3" t="str">
        <f>IF(A280="","",Summary_big_cities!T73)</f>
        <v/>
      </c>
      <c r="H280" s="3" t="str">
        <f>IF(A280="","",Summary_big_cities!U73)</f>
        <v/>
      </c>
      <c r="I280" s="3" t="str">
        <f>IF(A280="","",Summary_big_cities!V73)</f>
        <v/>
      </c>
      <c r="J280" s="2" t="str">
        <f>IF(A280="","",IF(Summary_big_cities!O73&lt;&gt;0,IF(ISERROR(SEARCH("LSA",Summary_big_cities!O73)=TRUE),IF(ISERROR(SEARCH("NA",Summary_big_cities!O73)=TRUE),"Sensitive","Normal"),"Less sensitive"),""))</f>
        <v/>
      </c>
    </row>
    <row r="281" spans="1:10" x14ac:dyDescent="0.2">
      <c r="A281" s="6" t="str">
        <f>IF(Summary_big_cities!B74&lt;&gt;0,Summary_big_cities!B74,IF(Summary_big_cities!S74&lt;&gt;0,Summary_big_cities!S74,""))</f>
        <v/>
      </c>
      <c r="B281" s="6" t="str">
        <f>IF(A281="","",IF(Summary_big_cities!A74&lt;&gt;0,Summary_big_cities!A74,Summary_big_cities!R74))</f>
        <v/>
      </c>
      <c r="C281" s="5" t="str">
        <f>IF(A281="","",Summary_big_cities!C74)</f>
        <v/>
      </c>
      <c r="D281" s="5" t="str">
        <f>IF(A281="","",Summary_big_cities!E74)</f>
        <v/>
      </c>
      <c r="E281" s="5" t="str">
        <f>IF(A281="","",Summary_big_cities!G74)</f>
        <v/>
      </c>
      <c r="F281" s="4" t="str">
        <f>IF(A281="","",Summary_big_cities!F74)</f>
        <v/>
      </c>
      <c r="G281" s="3" t="str">
        <f>IF(A281="","",Summary_big_cities!T74)</f>
        <v/>
      </c>
      <c r="H281" s="3" t="str">
        <f>IF(A281="","",Summary_big_cities!U74)</f>
        <v/>
      </c>
      <c r="I281" s="3" t="str">
        <f>IF(A281="","",Summary_big_cities!V74)</f>
        <v/>
      </c>
      <c r="J281" s="2" t="str">
        <f>IF(A281="","",IF(Summary_big_cities!O74&lt;&gt;0,IF(ISERROR(SEARCH("LSA",Summary_big_cities!O74)=TRUE),IF(ISERROR(SEARCH("NA",Summary_big_cities!O74)=TRUE),"Sensitive","Normal"),"Less sensitive"),""))</f>
        <v/>
      </c>
    </row>
    <row r="282" spans="1:10" x14ac:dyDescent="0.2">
      <c r="A282" s="6" t="str">
        <f>IF(Summary_big_cities!B75&lt;&gt;0,Summary_big_cities!B75,IF(Summary_big_cities!S75&lt;&gt;0,Summary_big_cities!S75,""))</f>
        <v/>
      </c>
      <c r="B282" s="6" t="str">
        <f>IF(A282="","",IF(Summary_big_cities!A75&lt;&gt;0,Summary_big_cities!A75,Summary_big_cities!R75))</f>
        <v/>
      </c>
      <c r="C282" s="5" t="str">
        <f>IF(A282="","",Summary_big_cities!C75)</f>
        <v/>
      </c>
      <c r="D282" s="5" t="str">
        <f>IF(A282="","",Summary_big_cities!E75)</f>
        <v/>
      </c>
      <c r="E282" s="5" t="str">
        <f>IF(A282="","",Summary_big_cities!G75)</f>
        <v/>
      </c>
      <c r="F282" s="4" t="str">
        <f>IF(A282="","",Summary_big_cities!F75)</f>
        <v/>
      </c>
      <c r="G282" s="3" t="str">
        <f>IF(A282="","",Summary_big_cities!T75)</f>
        <v/>
      </c>
      <c r="H282" s="3" t="str">
        <f>IF(A282="","",Summary_big_cities!U75)</f>
        <v/>
      </c>
      <c r="I282" s="3" t="str">
        <f>IF(A282="","",Summary_big_cities!V75)</f>
        <v/>
      </c>
      <c r="J282" s="2" t="str">
        <f>IF(A282="","",IF(Summary_big_cities!O75&lt;&gt;0,IF(ISERROR(SEARCH("LSA",Summary_big_cities!O75)=TRUE),IF(ISERROR(SEARCH("NA",Summary_big_cities!O75)=TRUE),"Sensitive","Normal"),"Less sensitive"),""))</f>
        <v/>
      </c>
    </row>
    <row r="283" spans="1:10" x14ac:dyDescent="0.2">
      <c r="A283" s="6" t="str">
        <f>IF(Summary_big_cities!B76&lt;&gt;0,Summary_big_cities!B76,IF(Summary_big_cities!S76&lt;&gt;0,Summary_big_cities!S76,""))</f>
        <v/>
      </c>
      <c r="B283" s="6" t="str">
        <f>IF(A283="","",IF(Summary_big_cities!A76&lt;&gt;0,Summary_big_cities!A76,Summary_big_cities!R76))</f>
        <v/>
      </c>
      <c r="C283" s="5" t="str">
        <f>IF(A283="","",Summary_big_cities!C76)</f>
        <v/>
      </c>
      <c r="D283" s="5" t="str">
        <f>IF(A283="","",Summary_big_cities!E76)</f>
        <v/>
      </c>
      <c r="E283" s="5" t="str">
        <f>IF(A283="","",Summary_big_cities!G76)</f>
        <v/>
      </c>
      <c r="F283" s="4" t="str">
        <f>IF(A283="","",Summary_big_cities!F76)</f>
        <v/>
      </c>
      <c r="G283" s="3" t="str">
        <f>IF(A283="","",Summary_big_cities!T76)</f>
        <v/>
      </c>
      <c r="H283" s="3" t="str">
        <f>IF(A283="","",Summary_big_cities!U76)</f>
        <v/>
      </c>
      <c r="I283" s="3" t="str">
        <f>IF(A283="","",Summary_big_cities!V76)</f>
        <v/>
      </c>
      <c r="J283" s="2" t="str">
        <f>IF(A283="","",IF(Summary_big_cities!O76&lt;&gt;0,IF(ISERROR(SEARCH("LSA",Summary_big_cities!O76)=TRUE),IF(ISERROR(SEARCH("NA",Summary_big_cities!O76)=TRUE),"Sensitive","Normal"),"Less sensitive"),""))</f>
        <v/>
      </c>
    </row>
    <row r="284" spans="1:10" x14ac:dyDescent="0.2">
      <c r="A284" s="6" t="str">
        <f>IF(Summary_big_cities!B77&lt;&gt;0,Summary_big_cities!B77,IF(Summary_big_cities!S77&lt;&gt;0,Summary_big_cities!S77,""))</f>
        <v/>
      </c>
      <c r="B284" s="6" t="str">
        <f>IF(A284="","",IF(Summary_big_cities!A77&lt;&gt;0,Summary_big_cities!A77,Summary_big_cities!R77))</f>
        <v/>
      </c>
      <c r="C284" s="5" t="str">
        <f>IF(A284="","",Summary_big_cities!C77)</f>
        <v/>
      </c>
      <c r="D284" s="5" t="str">
        <f>IF(A284="","",Summary_big_cities!E77)</f>
        <v/>
      </c>
      <c r="E284" s="5" t="str">
        <f>IF(A284="","",Summary_big_cities!G77)</f>
        <v/>
      </c>
      <c r="F284" s="4" t="str">
        <f>IF(A284="","",Summary_big_cities!F77)</f>
        <v/>
      </c>
      <c r="G284" s="3" t="str">
        <f>IF(A284="","",Summary_big_cities!T77)</f>
        <v/>
      </c>
      <c r="H284" s="3" t="str">
        <f>IF(A284="","",Summary_big_cities!U77)</f>
        <v/>
      </c>
      <c r="I284" s="3" t="str">
        <f>IF(A284="","",Summary_big_cities!V77)</f>
        <v/>
      </c>
      <c r="J284" s="2" t="str">
        <f>IF(A284="","",IF(Summary_big_cities!O77&lt;&gt;0,IF(ISERROR(SEARCH("LSA",Summary_big_cities!O77)=TRUE),IF(ISERROR(SEARCH("NA",Summary_big_cities!O77)=TRUE),"Sensitive","Normal"),"Less sensitive"),""))</f>
        <v/>
      </c>
    </row>
    <row r="285" spans="1:10" x14ac:dyDescent="0.2">
      <c r="A285" s="6" t="str">
        <f>IF(Summary_big_cities!B78&lt;&gt;0,Summary_big_cities!B78,IF(Summary_big_cities!S78&lt;&gt;0,Summary_big_cities!S78,""))</f>
        <v/>
      </c>
      <c r="B285" s="6" t="str">
        <f>IF(A285="","",IF(Summary_big_cities!A78&lt;&gt;0,Summary_big_cities!A78,Summary_big_cities!R78))</f>
        <v/>
      </c>
      <c r="C285" s="5" t="str">
        <f>IF(A285="","",Summary_big_cities!C78)</f>
        <v/>
      </c>
      <c r="D285" s="5" t="str">
        <f>IF(A285="","",Summary_big_cities!E78)</f>
        <v/>
      </c>
      <c r="E285" s="5" t="str">
        <f>IF(A285="","",Summary_big_cities!G78)</f>
        <v/>
      </c>
      <c r="F285" s="4" t="str">
        <f>IF(A285="","",Summary_big_cities!F78)</f>
        <v/>
      </c>
      <c r="G285" s="3" t="str">
        <f>IF(A285="","",Summary_big_cities!T78)</f>
        <v/>
      </c>
      <c r="H285" s="3" t="str">
        <f>IF(A285="","",Summary_big_cities!U78)</f>
        <v/>
      </c>
      <c r="I285" s="3" t="str">
        <f>IF(A285="","",Summary_big_cities!V78)</f>
        <v/>
      </c>
      <c r="J285" s="2" t="str">
        <f>IF(A285="","",IF(Summary_big_cities!O78&lt;&gt;0,IF(ISERROR(SEARCH("LSA",Summary_big_cities!O78)=TRUE),IF(ISERROR(SEARCH("NA",Summary_big_cities!O78)=TRUE),"Sensitive","Normal"),"Less sensitive"),""))</f>
        <v/>
      </c>
    </row>
    <row r="286" spans="1:10" x14ac:dyDescent="0.2">
      <c r="A286" s="6" t="str">
        <f>IF(Summary_big_cities!B79&lt;&gt;0,Summary_big_cities!B79,IF(Summary_big_cities!S79&lt;&gt;0,Summary_big_cities!S79,""))</f>
        <v/>
      </c>
      <c r="B286" s="6" t="str">
        <f>IF(A286="","",IF(Summary_big_cities!A79&lt;&gt;0,Summary_big_cities!A79,Summary_big_cities!R79))</f>
        <v/>
      </c>
      <c r="C286" s="5" t="str">
        <f>IF(A286="","",Summary_big_cities!C79)</f>
        <v/>
      </c>
      <c r="D286" s="5" t="str">
        <f>IF(A286="","",Summary_big_cities!E79)</f>
        <v/>
      </c>
      <c r="E286" s="5" t="str">
        <f>IF(A286="","",Summary_big_cities!G79)</f>
        <v/>
      </c>
      <c r="F286" s="4" t="str">
        <f>IF(A286="","",Summary_big_cities!F79)</f>
        <v/>
      </c>
      <c r="G286" s="3" t="str">
        <f>IF(A286="","",Summary_big_cities!T79)</f>
        <v/>
      </c>
      <c r="H286" s="3" t="str">
        <f>IF(A286="","",Summary_big_cities!U79)</f>
        <v/>
      </c>
      <c r="I286" s="3" t="str">
        <f>IF(A286="","",Summary_big_cities!V79)</f>
        <v/>
      </c>
      <c r="J286" s="2" t="str">
        <f>IF(A286="","",IF(Summary_big_cities!O79&lt;&gt;0,IF(ISERROR(SEARCH("LSA",Summary_big_cities!O79)=TRUE),IF(ISERROR(SEARCH("NA",Summary_big_cities!O79)=TRUE),"Sensitive","Normal"),"Less sensitive"),""))</f>
        <v/>
      </c>
    </row>
    <row r="287" spans="1:10" x14ac:dyDescent="0.2">
      <c r="A287" s="6" t="str">
        <f>IF(Summary_big_cities!B80&lt;&gt;0,Summary_big_cities!B80,IF(Summary_big_cities!S80&lt;&gt;0,Summary_big_cities!S80,""))</f>
        <v/>
      </c>
      <c r="B287" s="6" t="str">
        <f>IF(A287="","",IF(Summary_big_cities!A80&lt;&gt;0,Summary_big_cities!A80,Summary_big_cities!R80))</f>
        <v/>
      </c>
      <c r="C287" s="5" t="str">
        <f>IF(A287="","",Summary_big_cities!C80)</f>
        <v/>
      </c>
      <c r="D287" s="5" t="str">
        <f>IF(A287="","",Summary_big_cities!E80)</f>
        <v/>
      </c>
      <c r="E287" s="5" t="str">
        <f>IF(A287="","",Summary_big_cities!G80)</f>
        <v/>
      </c>
      <c r="F287" s="4" t="str">
        <f>IF(A287="","",Summary_big_cities!F80)</f>
        <v/>
      </c>
      <c r="G287" s="3" t="str">
        <f>IF(A287="","",Summary_big_cities!T80)</f>
        <v/>
      </c>
      <c r="H287" s="3" t="str">
        <f>IF(A287="","",Summary_big_cities!U80)</f>
        <v/>
      </c>
      <c r="I287" s="3" t="str">
        <f>IF(A287="","",Summary_big_cities!V80)</f>
        <v/>
      </c>
      <c r="J287" s="2" t="str">
        <f>IF(A287="","",IF(Summary_big_cities!O80&lt;&gt;0,IF(ISERROR(SEARCH("LSA",Summary_big_cities!O80)=TRUE),IF(ISERROR(SEARCH("NA",Summary_big_cities!O80)=TRUE),"Sensitive","Normal"),"Less sensitive"),""))</f>
        <v/>
      </c>
    </row>
    <row r="288" spans="1:10" x14ac:dyDescent="0.2">
      <c r="A288" s="6" t="str">
        <f>IF(Summary_big_cities!B81&lt;&gt;0,Summary_big_cities!B81,IF(Summary_big_cities!S81&lt;&gt;0,Summary_big_cities!S81,""))</f>
        <v/>
      </c>
      <c r="B288" s="6" t="str">
        <f>IF(A288="","",IF(Summary_big_cities!A81&lt;&gt;0,Summary_big_cities!A81,Summary_big_cities!R81))</f>
        <v/>
      </c>
      <c r="C288" s="5" t="str">
        <f>IF(A288="","",Summary_big_cities!C81)</f>
        <v/>
      </c>
      <c r="D288" s="5" t="str">
        <f>IF(A288="","",Summary_big_cities!E81)</f>
        <v/>
      </c>
      <c r="E288" s="5" t="str">
        <f>IF(A288="","",Summary_big_cities!G81)</f>
        <v/>
      </c>
      <c r="F288" s="4" t="str">
        <f>IF(A288="","",Summary_big_cities!F81)</f>
        <v/>
      </c>
      <c r="G288" s="3" t="str">
        <f>IF(A288="","",Summary_big_cities!T81)</f>
        <v/>
      </c>
      <c r="H288" s="3" t="str">
        <f>IF(A288="","",Summary_big_cities!U81)</f>
        <v/>
      </c>
      <c r="I288" s="3" t="str">
        <f>IF(A288="","",Summary_big_cities!V81)</f>
        <v/>
      </c>
      <c r="J288" s="2" t="str">
        <f>IF(A288="","",IF(Summary_big_cities!O81&lt;&gt;0,IF(ISERROR(SEARCH("LSA",Summary_big_cities!O81)=TRUE),IF(ISERROR(SEARCH("NA",Summary_big_cities!O81)=TRUE),"Sensitive","Normal"),"Less sensitive"),""))</f>
        <v/>
      </c>
    </row>
    <row r="289" spans="1:10" x14ac:dyDescent="0.2">
      <c r="A289" s="6" t="str">
        <f>IF(Summary_big_cities!B82&lt;&gt;0,Summary_big_cities!B82,IF(Summary_big_cities!S82&lt;&gt;0,Summary_big_cities!S82,""))</f>
        <v/>
      </c>
      <c r="B289" s="6" t="str">
        <f>IF(A289="","",IF(Summary_big_cities!A82&lt;&gt;0,Summary_big_cities!A82,Summary_big_cities!R82))</f>
        <v/>
      </c>
      <c r="C289" s="5" t="str">
        <f>IF(A289="","",Summary_big_cities!C82)</f>
        <v/>
      </c>
      <c r="D289" s="5" t="str">
        <f>IF(A289="","",Summary_big_cities!E82)</f>
        <v/>
      </c>
      <c r="E289" s="5" t="str">
        <f>IF(A289="","",Summary_big_cities!G82)</f>
        <v/>
      </c>
      <c r="F289" s="4" t="str">
        <f>IF(A289="","",Summary_big_cities!F82)</f>
        <v/>
      </c>
      <c r="G289" s="3" t="str">
        <f>IF(A289="","",Summary_big_cities!T82)</f>
        <v/>
      </c>
      <c r="H289" s="3" t="str">
        <f>IF(A289="","",Summary_big_cities!U82)</f>
        <v/>
      </c>
      <c r="I289" s="3" t="str">
        <f>IF(A289="","",Summary_big_cities!V82)</f>
        <v/>
      </c>
      <c r="J289" s="2" t="str">
        <f>IF(A289="","",IF(Summary_big_cities!O82&lt;&gt;0,IF(ISERROR(SEARCH("LSA",Summary_big_cities!O82)=TRUE),IF(ISERROR(SEARCH("NA",Summary_big_cities!O82)=TRUE),"Sensitive","Normal"),"Less sensitive"),""))</f>
        <v/>
      </c>
    </row>
    <row r="290" spans="1:10" x14ac:dyDescent="0.2">
      <c r="A290" s="6" t="str">
        <f>IF(Summary_big_cities!B83&lt;&gt;0,Summary_big_cities!B83,IF(Summary_big_cities!S83&lt;&gt;0,Summary_big_cities!S83,""))</f>
        <v/>
      </c>
      <c r="B290" s="6" t="str">
        <f>IF(A290="","",IF(Summary_big_cities!A83&lt;&gt;0,Summary_big_cities!A83,Summary_big_cities!R83))</f>
        <v/>
      </c>
      <c r="C290" s="5" t="str">
        <f>IF(A290="","",Summary_big_cities!C83)</f>
        <v/>
      </c>
      <c r="D290" s="5" t="str">
        <f>IF(A290="","",Summary_big_cities!E83)</f>
        <v/>
      </c>
      <c r="E290" s="5" t="str">
        <f>IF(A290="","",Summary_big_cities!G83)</f>
        <v/>
      </c>
      <c r="F290" s="4" t="str">
        <f>IF(A290="","",Summary_big_cities!F83)</f>
        <v/>
      </c>
      <c r="G290" s="3" t="str">
        <f>IF(A290="","",Summary_big_cities!T83)</f>
        <v/>
      </c>
      <c r="H290" s="3" t="str">
        <f>IF(A290="","",Summary_big_cities!U83)</f>
        <v/>
      </c>
      <c r="I290" s="3" t="str">
        <f>IF(A290="","",Summary_big_cities!V83)</f>
        <v/>
      </c>
      <c r="J290" s="2" t="str">
        <f>IF(A290="","",IF(Summary_big_cities!O83&lt;&gt;0,IF(ISERROR(SEARCH("LSA",Summary_big_cities!O83)=TRUE),IF(ISERROR(SEARCH("NA",Summary_big_cities!O83)=TRUE),"Sensitive","Normal"),"Less sensitive"),""))</f>
        <v/>
      </c>
    </row>
    <row r="291" spans="1:10" x14ac:dyDescent="0.2">
      <c r="A291" s="6" t="str">
        <f>IF(Summary_big_cities!B84&lt;&gt;0,Summary_big_cities!B84,IF(Summary_big_cities!S84&lt;&gt;0,Summary_big_cities!S84,""))</f>
        <v/>
      </c>
      <c r="B291" s="6" t="str">
        <f>IF(A291="","",IF(Summary_big_cities!A84&lt;&gt;0,Summary_big_cities!A84,Summary_big_cities!R84))</f>
        <v/>
      </c>
      <c r="C291" s="5" t="str">
        <f>IF(A291="","",Summary_big_cities!C84)</f>
        <v/>
      </c>
      <c r="D291" s="5" t="str">
        <f>IF(A291="","",Summary_big_cities!E84)</f>
        <v/>
      </c>
      <c r="E291" s="5" t="str">
        <f>IF(A291="","",Summary_big_cities!G84)</f>
        <v/>
      </c>
      <c r="F291" s="4" t="str">
        <f>IF(A291="","",Summary_big_cities!F84)</f>
        <v/>
      </c>
      <c r="G291" s="3" t="str">
        <f>IF(A291="","",Summary_big_cities!T84)</f>
        <v/>
      </c>
      <c r="H291" s="3" t="str">
        <f>IF(A291="","",Summary_big_cities!U84)</f>
        <v/>
      </c>
      <c r="I291" s="3" t="str">
        <f>IF(A291="","",Summary_big_cities!V84)</f>
        <v/>
      </c>
      <c r="J291" s="2" t="str">
        <f>IF(A291="","",IF(Summary_big_cities!O84&lt;&gt;0,IF(ISERROR(SEARCH("LSA",Summary_big_cities!O84)=TRUE),IF(ISERROR(SEARCH("NA",Summary_big_cities!O84)=TRUE),"Sensitive","Normal"),"Less sensitive"),""))</f>
        <v/>
      </c>
    </row>
    <row r="292" spans="1:10" x14ac:dyDescent="0.2">
      <c r="A292" s="6" t="str">
        <f>IF(Summary_big_cities!B85&lt;&gt;0,Summary_big_cities!B85,IF(Summary_big_cities!S85&lt;&gt;0,Summary_big_cities!S85,""))</f>
        <v/>
      </c>
      <c r="B292" s="6" t="str">
        <f>IF(A292="","",IF(Summary_big_cities!A85&lt;&gt;0,Summary_big_cities!A85,Summary_big_cities!R85))</f>
        <v/>
      </c>
      <c r="C292" s="5" t="str">
        <f>IF(A292="","",Summary_big_cities!C85)</f>
        <v/>
      </c>
      <c r="D292" s="5" t="str">
        <f>IF(A292="","",Summary_big_cities!E85)</f>
        <v/>
      </c>
      <c r="E292" s="5" t="str">
        <f>IF(A292="","",Summary_big_cities!G85)</f>
        <v/>
      </c>
      <c r="F292" s="4" t="str">
        <f>IF(A292="","",Summary_big_cities!F85)</f>
        <v/>
      </c>
      <c r="G292" s="3" t="str">
        <f>IF(A292="","",Summary_big_cities!T85)</f>
        <v/>
      </c>
      <c r="H292" s="3" t="str">
        <f>IF(A292="","",Summary_big_cities!U85)</f>
        <v/>
      </c>
      <c r="I292" s="3" t="str">
        <f>IF(A292="","",Summary_big_cities!V85)</f>
        <v/>
      </c>
      <c r="J292" s="2" t="str">
        <f>IF(A292="","",IF(Summary_big_cities!O85&lt;&gt;0,IF(ISERROR(SEARCH("LSA",Summary_big_cities!O85)=TRUE),IF(ISERROR(SEARCH("NA",Summary_big_cities!O85)=TRUE),"Sensitive","Normal"),"Less sensitive"),""))</f>
        <v/>
      </c>
    </row>
    <row r="293" spans="1:10" x14ac:dyDescent="0.2">
      <c r="A293" s="6" t="str">
        <f>IF(Summary_big_cities!B86&lt;&gt;0,Summary_big_cities!B86,IF(Summary_big_cities!S86&lt;&gt;0,Summary_big_cities!S86,""))</f>
        <v/>
      </c>
      <c r="B293" s="6" t="str">
        <f>IF(A293="","",IF(Summary_big_cities!A86&lt;&gt;0,Summary_big_cities!A86,Summary_big_cities!R86))</f>
        <v/>
      </c>
      <c r="C293" s="5" t="str">
        <f>IF(A293="","",Summary_big_cities!C86)</f>
        <v/>
      </c>
      <c r="D293" s="5" t="str">
        <f>IF(A293="","",Summary_big_cities!E86)</f>
        <v/>
      </c>
      <c r="E293" s="5" t="str">
        <f>IF(A293="","",Summary_big_cities!G86)</f>
        <v/>
      </c>
      <c r="F293" s="4" t="str">
        <f>IF(A293="","",Summary_big_cities!F86)</f>
        <v/>
      </c>
      <c r="G293" s="3" t="str">
        <f>IF(A293="","",Summary_big_cities!T86)</f>
        <v/>
      </c>
      <c r="H293" s="3" t="str">
        <f>IF(A293="","",Summary_big_cities!U86)</f>
        <v/>
      </c>
      <c r="I293" s="3" t="str">
        <f>IF(A293="","",Summary_big_cities!V86)</f>
        <v/>
      </c>
      <c r="J293" s="2" t="str">
        <f>IF(A293="","",IF(Summary_big_cities!O86&lt;&gt;0,IF(ISERROR(SEARCH("LSA",Summary_big_cities!O86)=TRUE),IF(ISERROR(SEARCH("NA",Summary_big_cities!O86)=TRUE),"Sensitive","Normal"),"Less sensitive"),""))</f>
        <v/>
      </c>
    </row>
    <row r="294" spans="1:10" x14ac:dyDescent="0.2">
      <c r="A294" s="6" t="str">
        <f>IF(Summary_big_cities!B87&lt;&gt;0,Summary_big_cities!B87,IF(Summary_big_cities!S87&lt;&gt;0,Summary_big_cities!S87,""))</f>
        <v/>
      </c>
      <c r="B294" s="6" t="str">
        <f>IF(A294="","",IF(Summary_big_cities!A87&lt;&gt;0,Summary_big_cities!A87,Summary_big_cities!R87))</f>
        <v/>
      </c>
      <c r="C294" s="5" t="str">
        <f>IF(A294="","",Summary_big_cities!C87)</f>
        <v/>
      </c>
      <c r="D294" s="5" t="str">
        <f>IF(A294="","",Summary_big_cities!E87)</f>
        <v/>
      </c>
      <c r="E294" s="5" t="str">
        <f>IF(A294="","",Summary_big_cities!G87)</f>
        <v/>
      </c>
      <c r="F294" s="4" t="str">
        <f>IF(A294="","",Summary_big_cities!F87)</f>
        <v/>
      </c>
      <c r="G294" s="3" t="str">
        <f>IF(A294="","",Summary_big_cities!T87)</f>
        <v/>
      </c>
      <c r="H294" s="3" t="str">
        <f>IF(A294="","",Summary_big_cities!U87)</f>
        <v/>
      </c>
      <c r="I294" s="3" t="str">
        <f>IF(A294="","",Summary_big_cities!V87)</f>
        <v/>
      </c>
      <c r="J294" s="2" t="str">
        <f>IF(A294="","",IF(Summary_big_cities!O87&lt;&gt;0,IF(ISERROR(SEARCH("LSA",Summary_big_cities!O87)=TRUE),IF(ISERROR(SEARCH("NA",Summary_big_cities!O87)=TRUE),"Sensitive","Normal"),"Less sensitive"),""))</f>
        <v/>
      </c>
    </row>
    <row r="295" spans="1:10" x14ac:dyDescent="0.2">
      <c r="A295" s="6" t="str">
        <f>IF(Summary_big_cities!B88&lt;&gt;0,Summary_big_cities!B88,IF(Summary_big_cities!S88&lt;&gt;0,Summary_big_cities!S88,""))</f>
        <v/>
      </c>
      <c r="B295" s="6" t="str">
        <f>IF(A295="","",IF(Summary_big_cities!A88&lt;&gt;0,Summary_big_cities!A88,Summary_big_cities!R88))</f>
        <v/>
      </c>
      <c r="C295" s="5" t="str">
        <f>IF(A295="","",Summary_big_cities!C88)</f>
        <v/>
      </c>
      <c r="D295" s="5" t="str">
        <f>IF(A295="","",Summary_big_cities!E88)</f>
        <v/>
      </c>
      <c r="E295" s="5" t="str">
        <f>IF(A295="","",Summary_big_cities!G88)</f>
        <v/>
      </c>
      <c r="F295" s="4" t="str">
        <f>IF(A295="","",Summary_big_cities!F88)</f>
        <v/>
      </c>
      <c r="G295" s="3" t="str">
        <f>IF(A295="","",Summary_big_cities!T88)</f>
        <v/>
      </c>
      <c r="H295" s="3" t="str">
        <f>IF(A295="","",Summary_big_cities!U88)</f>
        <v/>
      </c>
      <c r="I295" s="3" t="str">
        <f>IF(A295="","",Summary_big_cities!V88)</f>
        <v/>
      </c>
      <c r="J295" s="2" t="str">
        <f>IF(A295="","",IF(Summary_big_cities!O88&lt;&gt;0,IF(ISERROR(SEARCH("LSA",Summary_big_cities!O88)=TRUE),IF(ISERROR(SEARCH("NA",Summary_big_cities!O88)=TRUE),"Sensitive","Normal"),"Less sensitive"),""))</f>
        <v/>
      </c>
    </row>
    <row r="296" spans="1:10" x14ac:dyDescent="0.2">
      <c r="A296" s="6" t="str">
        <f>IF(Summary_big_cities!B89&lt;&gt;0,Summary_big_cities!B89,IF(Summary_big_cities!S89&lt;&gt;0,Summary_big_cities!S89,""))</f>
        <v/>
      </c>
      <c r="B296" s="6" t="str">
        <f>IF(A296="","",IF(Summary_big_cities!A89&lt;&gt;0,Summary_big_cities!A89,Summary_big_cities!R89))</f>
        <v/>
      </c>
      <c r="C296" s="5" t="str">
        <f>IF(A296="","",Summary_big_cities!C89)</f>
        <v/>
      </c>
      <c r="D296" s="5" t="str">
        <f>IF(A296="","",Summary_big_cities!E89)</f>
        <v/>
      </c>
      <c r="E296" s="5" t="str">
        <f>IF(A296="","",Summary_big_cities!G89)</f>
        <v/>
      </c>
      <c r="F296" s="4" t="str">
        <f>IF(A296="","",Summary_big_cities!F89)</f>
        <v/>
      </c>
      <c r="G296" s="3" t="str">
        <f>IF(A296="","",Summary_big_cities!T89)</f>
        <v/>
      </c>
      <c r="H296" s="3" t="str">
        <f>IF(A296="","",Summary_big_cities!U89)</f>
        <v/>
      </c>
      <c r="I296" s="3" t="str">
        <f>IF(A296="","",Summary_big_cities!V89)</f>
        <v/>
      </c>
      <c r="J296" s="2" t="str">
        <f>IF(A296="","",IF(Summary_big_cities!O89&lt;&gt;0,IF(ISERROR(SEARCH("LSA",Summary_big_cities!O89)=TRUE),IF(ISERROR(SEARCH("NA",Summary_big_cities!O89)=TRUE),"Sensitive","Normal"),"Less sensitive"),""))</f>
        <v/>
      </c>
    </row>
    <row r="297" spans="1:10" x14ac:dyDescent="0.2">
      <c r="A297" s="6" t="str">
        <f>IF(Summary_big_cities!B90&lt;&gt;0,Summary_big_cities!B90,IF(Summary_big_cities!S90&lt;&gt;0,Summary_big_cities!S90,""))</f>
        <v/>
      </c>
      <c r="B297" s="6" t="str">
        <f>IF(A297="","",IF(Summary_big_cities!A90&lt;&gt;0,Summary_big_cities!A90,Summary_big_cities!R90))</f>
        <v/>
      </c>
      <c r="C297" s="5" t="str">
        <f>IF(A297="","",Summary_big_cities!C90)</f>
        <v/>
      </c>
      <c r="D297" s="5" t="str">
        <f>IF(A297="","",Summary_big_cities!E90)</f>
        <v/>
      </c>
      <c r="E297" s="5" t="str">
        <f>IF(A297="","",Summary_big_cities!G90)</f>
        <v/>
      </c>
      <c r="F297" s="4" t="str">
        <f>IF(A297="","",Summary_big_cities!F90)</f>
        <v/>
      </c>
      <c r="G297" s="3" t="str">
        <f>IF(A297="","",Summary_big_cities!T90)</f>
        <v/>
      </c>
      <c r="H297" s="3" t="str">
        <f>IF(A297="","",Summary_big_cities!U90)</f>
        <v/>
      </c>
      <c r="I297" s="3" t="str">
        <f>IF(A297="","",Summary_big_cities!V90)</f>
        <v/>
      </c>
      <c r="J297" s="2" t="str">
        <f>IF(A297="","",IF(Summary_big_cities!O90&lt;&gt;0,IF(ISERROR(SEARCH("LSA",Summary_big_cities!O90)=TRUE),IF(ISERROR(SEARCH("NA",Summary_big_cities!O90)=TRUE),"Sensitive","Normal"),"Less sensitive"),""))</f>
        <v/>
      </c>
    </row>
    <row r="298" spans="1:10" x14ac:dyDescent="0.2">
      <c r="A298" s="6" t="str">
        <f>IF(Summary_big_cities!B91&lt;&gt;0,Summary_big_cities!B91,IF(Summary_big_cities!S91&lt;&gt;0,Summary_big_cities!S91,""))</f>
        <v/>
      </c>
      <c r="B298" s="6" t="str">
        <f>IF(A298="","",IF(Summary_big_cities!A91&lt;&gt;0,Summary_big_cities!A91,Summary_big_cities!R91))</f>
        <v/>
      </c>
      <c r="C298" s="5" t="str">
        <f>IF(A298="","",Summary_big_cities!C91)</f>
        <v/>
      </c>
      <c r="D298" s="5" t="str">
        <f>IF(A298="","",Summary_big_cities!E91)</f>
        <v/>
      </c>
      <c r="E298" s="5" t="str">
        <f>IF(A298="","",Summary_big_cities!G91)</f>
        <v/>
      </c>
      <c r="F298" s="4" t="str">
        <f>IF(A298="","",Summary_big_cities!F91)</f>
        <v/>
      </c>
      <c r="G298" s="3" t="str">
        <f>IF(A298="","",Summary_big_cities!T91)</f>
        <v/>
      </c>
      <c r="H298" s="3" t="str">
        <f>IF(A298="","",Summary_big_cities!U91)</f>
        <v/>
      </c>
      <c r="I298" s="3" t="str">
        <f>IF(A298="","",Summary_big_cities!V91)</f>
        <v/>
      </c>
      <c r="J298" s="2" t="str">
        <f>IF(A298="","",IF(Summary_big_cities!O91&lt;&gt;0,IF(ISERROR(SEARCH("LSA",Summary_big_cities!O91)=TRUE),IF(ISERROR(SEARCH("NA",Summary_big_cities!O91)=TRUE),"Sensitive","Normal"),"Less sensitive"),""))</f>
        <v/>
      </c>
    </row>
    <row r="299" spans="1:10" x14ac:dyDescent="0.2">
      <c r="A299" s="6" t="str">
        <f>IF(Summary_big_cities!B92&lt;&gt;0,Summary_big_cities!B92,IF(Summary_big_cities!S92&lt;&gt;0,Summary_big_cities!S92,""))</f>
        <v/>
      </c>
      <c r="B299" s="6" t="str">
        <f>IF(A299="","",IF(Summary_big_cities!A92&lt;&gt;0,Summary_big_cities!A92,Summary_big_cities!R92))</f>
        <v/>
      </c>
      <c r="C299" s="5" t="str">
        <f>IF(A299="","",Summary_big_cities!C92)</f>
        <v/>
      </c>
      <c r="D299" s="5" t="str">
        <f>IF(A299="","",Summary_big_cities!E92)</f>
        <v/>
      </c>
      <c r="E299" s="5" t="str">
        <f>IF(A299="","",Summary_big_cities!G92)</f>
        <v/>
      </c>
      <c r="F299" s="4" t="str">
        <f>IF(A299="","",Summary_big_cities!F92)</f>
        <v/>
      </c>
      <c r="G299" s="3" t="str">
        <f>IF(A299="","",Summary_big_cities!T92)</f>
        <v/>
      </c>
      <c r="H299" s="3" t="str">
        <f>IF(A299="","",Summary_big_cities!U92)</f>
        <v/>
      </c>
      <c r="I299" s="3" t="str">
        <f>IF(A299="","",Summary_big_cities!V92)</f>
        <v/>
      </c>
      <c r="J299" s="2" t="str">
        <f>IF(A299="","",IF(Summary_big_cities!O92&lt;&gt;0,IF(ISERROR(SEARCH("LSA",Summary_big_cities!O92)=TRUE),IF(ISERROR(SEARCH("NA",Summary_big_cities!O92)=TRUE),"Sensitive","Normal"),"Less sensitive"),""))</f>
        <v/>
      </c>
    </row>
    <row r="300" spans="1:10" x14ac:dyDescent="0.2">
      <c r="A300" s="6" t="str">
        <f>IF(Summary_big_cities!B93&lt;&gt;0,Summary_big_cities!B93,IF(Summary_big_cities!S93&lt;&gt;0,Summary_big_cities!S93,""))</f>
        <v/>
      </c>
      <c r="B300" s="6" t="str">
        <f>IF(A300="","",IF(Summary_big_cities!A93&lt;&gt;0,Summary_big_cities!A93,Summary_big_cities!R93))</f>
        <v/>
      </c>
      <c r="C300" s="5" t="str">
        <f>IF(A300="","",Summary_big_cities!C93)</f>
        <v/>
      </c>
      <c r="D300" s="5" t="str">
        <f>IF(A300="","",Summary_big_cities!E93)</f>
        <v/>
      </c>
      <c r="E300" s="5" t="str">
        <f>IF(A300="","",Summary_big_cities!G93)</f>
        <v/>
      </c>
      <c r="F300" s="4" t="str">
        <f>IF(A300="","",Summary_big_cities!F93)</f>
        <v/>
      </c>
      <c r="G300" s="3" t="str">
        <f>IF(A300="","",Summary_big_cities!T93)</f>
        <v/>
      </c>
      <c r="H300" s="3" t="str">
        <f>IF(A300="","",Summary_big_cities!U93)</f>
        <v/>
      </c>
      <c r="I300" s="3" t="str">
        <f>IF(A300="","",Summary_big_cities!V93)</f>
        <v/>
      </c>
      <c r="J300" s="2" t="str">
        <f>IF(A300="","",IF(Summary_big_cities!O93&lt;&gt;0,IF(ISERROR(SEARCH("LSA",Summary_big_cities!O93)=TRUE),IF(ISERROR(SEARCH("NA",Summary_big_cities!O93)=TRUE),"Sensitive","Normal"),"Less sensitive"),""))</f>
        <v/>
      </c>
    </row>
    <row r="301" spans="1:10" x14ac:dyDescent="0.2">
      <c r="A301" s="6" t="str">
        <f>IF(Summary_big_cities!B94&lt;&gt;0,Summary_big_cities!B94,IF(Summary_big_cities!S94&lt;&gt;0,Summary_big_cities!S94,""))</f>
        <v/>
      </c>
      <c r="B301" s="6" t="str">
        <f>IF(A301="","",IF(Summary_big_cities!A94&lt;&gt;0,Summary_big_cities!A94,Summary_big_cities!R94))</f>
        <v/>
      </c>
      <c r="C301" s="5" t="str">
        <f>IF(A301="","",Summary_big_cities!C94)</f>
        <v/>
      </c>
      <c r="D301" s="5" t="str">
        <f>IF(A301="","",Summary_big_cities!E94)</f>
        <v/>
      </c>
      <c r="E301" s="5" t="str">
        <f>IF(A301="","",Summary_big_cities!G94)</f>
        <v/>
      </c>
      <c r="F301" s="4" t="str">
        <f>IF(A301="","",Summary_big_cities!F94)</f>
        <v/>
      </c>
      <c r="G301" s="3" t="str">
        <f>IF(A301="","",Summary_big_cities!T94)</f>
        <v/>
      </c>
      <c r="H301" s="3" t="str">
        <f>IF(A301="","",Summary_big_cities!U94)</f>
        <v/>
      </c>
      <c r="I301" s="3" t="str">
        <f>IF(A301="","",Summary_big_cities!V94)</f>
        <v/>
      </c>
      <c r="J301" s="2" t="str">
        <f>IF(A301="","",IF(Summary_big_cities!O94&lt;&gt;0,IF(ISERROR(SEARCH("LSA",Summary_big_cities!O94)=TRUE),IF(ISERROR(SEARCH("NA",Summary_big_cities!O94)=TRUE),"Sensitive","Normal"),"Less sensitive"),""))</f>
        <v/>
      </c>
    </row>
    <row r="302" spans="1:10" x14ac:dyDescent="0.2">
      <c r="A302" s="6" t="str">
        <f>IF(Summary_big_cities!B95&lt;&gt;0,Summary_big_cities!B95,IF(Summary_big_cities!S95&lt;&gt;0,Summary_big_cities!S95,""))</f>
        <v/>
      </c>
      <c r="B302" s="6" t="str">
        <f>IF(A302="","",IF(Summary_big_cities!A95&lt;&gt;0,Summary_big_cities!A95,Summary_big_cities!R95))</f>
        <v/>
      </c>
      <c r="C302" s="5" t="str">
        <f>IF(A302="","",Summary_big_cities!C95)</f>
        <v/>
      </c>
      <c r="D302" s="5" t="str">
        <f>IF(A302="","",Summary_big_cities!E95)</f>
        <v/>
      </c>
      <c r="E302" s="5" t="str">
        <f>IF(A302="","",Summary_big_cities!G95)</f>
        <v/>
      </c>
      <c r="F302" s="4" t="str">
        <f>IF(A302="","",Summary_big_cities!F95)</f>
        <v/>
      </c>
      <c r="G302" s="3" t="str">
        <f>IF(A302="","",Summary_big_cities!T95)</f>
        <v/>
      </c>
      <c r="H302" s="3" t="str">
        <f>IF(A302="","",Summary_big_cities!U95)</f>
        <v/>
      </c>
      <c r="I302" s="3" t="str">
        <f>IF(A302="","",Summary_big_cities!V95)</f>
        <v/>
      </c>
      <c r="J302" s="2" t="str">
        <f>IF(A302="","",IF(Summary_big_cities!O95&lt;&gt;0,IF(ISERROR(SEARCH("LSA",Summary_big_cities!O95)=TRUE),IF(ISERROR(SEARCH("NA",Summary_big_cities!O95)=TRUE),"Sensitive","Normal"),"Less sensitive"),""))</f>
        <v/>
      </c>
    </row>
    <row r="303" spans="1:10" x14ac:dyDescent="0.2">
      <c r="A303" s="6" t="str">
        <f>IF(Summary_big_cities!B96&lt;&gt;0,Summary_big_cities!B96,IF(Summary_big_cities!S96&lt;&gt;0,Summary_big_cities!S96,""))</f>
        <v/>
      </c>
      <c r="B303" s="6" t="str">
        <f>IF(A303="","",IF(Summary_big_cities!A96&lt;&gt;0,Summary_big_cities!A96,Summary_big_cities!R96))</f>
        <v/>
      </c>
      <c r="C303" s="5" t="str">
        <f>IF(A303="","",Summary_big_cities!C96)</f>
        <v/>
      </c>
      <c r="D303" s="5" t="str">
        <f>IF(A303="","",Summary_big_cities!E96)</f>
        <v/>
      </c>
      <c r="E303" s="5" t="str">
        <f>IF(A303="","",Summary_big_cities!G96)</f>
        <v/>
      </c>
      <c r="F303" s="4" t="str">
        <f>IF(A303="","",Summary_big_cities!F96)</f>
        <v/>
      </c>
      <c r="G303" s="3" t="str">
        <f>IF(A303="","",Summary_big_cities!T96)</f>
        <v/>
      </c>
      <c r="H303" s="3" t="str">
        <f>IF(A303="","",Summary_big_cities!U96)</f>
        <v/>
      </c>
      <c r="I303" s="3" t="str">
        <f>IF(A303="","",Summary_big_cities!V96)</f>
        <v/>
      </c>
      <c r="J303" s="2" t="str">
        <f>IF(A303="","",IF(Summary_big_cities!O96&lt;&gt;0,IF(ISERROR(SEARCH("LSA",Summary_big_cities!O96)=TRUE),IF(ISERROR(SEARCH("NA",Summary_big_cities!O96)=TRUE),"Sensitive","Normal"),"Less sensitive"),""))</f>
        <v/>
      </c>
    </row>
    <row r="304" spans="1:10" x14ac:dyDescent="0.2">
      <c r="A304" s="6" t="str">
        <f>IF(Summary_big_cities!B97&lt;&gt;0,Summary_big_cities!B97,IF(Summary_big_cities!S97&lt;&gt;0,Summary_big_cities!S97,""))</f>
        <v/>
      </c>
      <c r="B304" s="6" t="str">
        <f>IF(A304="","",IF(Summary_big_cities!A97&lt;&gt;0,Summary_big_cities!A97,Summary_big_cities!R97))</f>
        <v/>
      </c>
      <c r="C304" s="5" t="str">
        <f>IF(A304="","",Summary_big_cities!C97)</f>
        <v/>
      </c>
      <c r="D304" s="5" t="str">
        <f>IF(A304="","",Summary_big_cities!E97)</f>
        <v/>
      </c>
      <c r="E304" s="5" t="str">
        <f>IF(A304="","",Summary_big_cities!G97)</f>
        <v/>
      </c>
      <c r="F304" s="4" t="str">
        <f>IF(A304="","",Summary_big_cities!F97)</f>
        <v/>
      </c>
      <c r="G304" s="3" t="str">
        <f>IF(A304="","",Summary_big_cities!T97)</f>
        <v/>
      </c>
      <c r="H304" s="3" t="str">
        <f>IF(A304="","",Summary_big_cities!U97)</f>
        <v/>
      </c>
      <c r="I304" s="3" t="str">
        <f>IF(A304="","",Summary_big_cities!V97)</f>
        <v/>
      </c>
      <c r="J304" s="2" t="str">
        <f>IF(A304="","",IF(Summary_big_cities!O97&lt;&gt;0,IF(ISERROR(SEARCH("LSA",Summary_big_cities!O97)=TRUE),IF(ISERROR(SEARCH("NA",Summary_big_cities!O97)=TRUE),"Sensitive","Normal"),"Less sensitive"),""))</f>
        <v/>
      </c>
    </row>
    <row r="305" spans="1:10" x14ac:dyDescent="0.2">
      <c r="A305" s="6" t="str">
        <f>IF(Summary_big_cities!B98&lt;&gt;0,Summary_big_cities!B98,IF(Summary_big_cities!S98&lt;&gt;0,Summary_big_cities!S98,""))</f>
        <v/>
      </c>
      <c r="B305" s="6" t="str">
        <f>IF(A305="","",IF(Summary_big_cities!A98&lt;&gt;0,Summary_big_cities!A98,Summary_big_cities!R98))</f>
        <v/>
      </c>
      <c r="C305" s="5" t="str">
        <f>IF(A305="","",Summary_big_cities!C98)</f>
        <v/>
      </c>
      <c r="D305" s="5" t="str">
        <f>IF(A305="","",Summary_big_cities!E98)</f>
        <v/>
      </c>
      <c r="E305" s="5" t="str">
        <f>IF(A305="","",Summary_big_cities!G98)</f>
        <v/>
      </c>
      <c r="F305" s="4" t="str">
        <f>IF(A305="","",Summary_big_cities!F98)</f>
        <v/>
      </c>
      <c r="G305" s="3" t="str">
        <f>IF(A305="","",Summary_big_cities!T98)</f>
        <v/>
      </c>
      <c r="H305" s="3" t="str">
        <f>IF(A305="","",Summary_big_cities!U98)</f>
        <v/>
      </c>
      <c r="I305" s="3" t="str">
        <f>IF(A305="","",Summary_big_cities!V98)</f>
        <v/>
      </c>
      <c r="J305" s="2" t="str">
        <f>IF(A305="","",IF(Summary_big_cities!O98&lt;&gt;0,IF(ISERROR(SEARCH("LSA",Summary_big_cities!O98)=TRUE),IF(ISERROR(SEARCH("NA",Summary_big_cities!O98)=TRUE),"Sensitive","Normal"),"Less sensitive"),""))</f>
        <v/>
      </c>
    </row>
    <row r="306" spans="1:10" x14ac:dyDescent="0.2">
      <c r="A306" s="6" t="str">
        <f>IF(Summary_big_cities!B99&lt;&gt;0,Summary_big_cities!B99,IF(Summary_big_cities!S99&lt;&gt;0,Summary_big_cities!S99,""))</f>
        <v/>
      </c>
      <c r="B306" s="6" t="str">
        <f>IF(A306="","",IF(Summary_big_cities!A99&lt;&gt;0,Summary_big_cities!A99,Summary_big_cities!R99))</f>
        <v/>
      </c>
      <c r="C306" s="5" t="str">
        <f>IF(A306="","",Summary_big_cities!C99)</f>
        <v/>
      </c>
      <c r="D306" s="5" t="str">
        <f>IF(A306="","",Summary_big_cities!E99)</f>
        <v/>
      </c>
      <c r="E306" s="5" t="str">
        <f>IF(A306="","",Summary_big_cities!G99)</f>
        <v/>
      </c>
      <c r="F306" s="4" t="str">
        <f>IF(A306="","",Summary_big_cities!F99)</f>
        <v/>
      </c>
      <c r="G306" s="3" t="str">
        <f>IF(A306="","",Summary_big_cities!T99)</f>
        <v/>
      </c>
      <c r="H306" s="3" t="str">
        <f>IF(A306="","",Summary_big_cities!U99)</f>
        <v/>
      </c>
      <c r="I306" s="3" t="str">
        <f>IF(A306="","",Summary_big_cities!V99)</f>
        <v/>
      </c>
      <c r="J306" s="2" t="str">
        <f>IF(A306="","",IF(Summary_big_cities!O99&lt;&gt;0,IF(ISERROR(SEARCH("LSA",Summary_big_cities!O99)=TRUE),IF(ISERROR(SEARCH("NA",Summary_big_cities!O99)=TRUE),"Sensitive","Normal"),"Less sensitive"),""))</f>
        <v/>
      </c>
    </row>
    <row r="307" spans="1:10" x14ac:dyDescent="0.2">
      <c r="A307" s="6" t="str">
        <f>IF(Summary_big_cities!B100&lt;&gt;0,Summary_big_cities!B100,IF(Summary_big_cities!S100&lt;&gt;0,Summary_big_cities!S100,""))</f>
        <v/>
      </c>
      <c r="B307" s="6" t="str">
        <f>IF(A307="","",IF(Summary_big_cities!A100&lt;&gt;0,Summary_big_cities!A100,Summary_big_cities!R100))</f>
        <v/>
      </c>
      <c r="C307" s="5" t="str">
        <f>IF(A307="","",Summary_big_cities!C100)</f>
        <v/>
      </c>
      <c r="D307" s="5" t="str">
        <f>IF(A307="","",Summary_big_cities!E100)</f>
        <v/>
      </c>
      <c r="E307" s="5" t="str">
        <f>IF(A307="","",Summary_big_cities!G100)</f>
        <v/>
      </c>
      <c r="F307" s="4" t="str">
        <f>IF(A307="","",Summary_big_cities!F100)</f>
        <v/>
      </c>
      <c r="G307" s="3" t="str">
        <f>IF(A307="","",Summary_big_cities!T100)</f>
        <v/>
      </c>
      <c r="H307" s="3" t="str">
        <f>IF(A307="","",Summary_big_cities!U100)</f>
        <v/>
      </c>
      <c r="I307" s="3" t="str">
        <f>IF(A307="","",Summary_big_cities!V100)</f>
        <v/>
      </c>
      <c r="J307" s="2" t="str">
        <f>IF(A307="","",IF(Summary_big_cities!O100&lt;&gt;0,IF(ISERROR(SEARCH("LSA",Summary_big_cities!O100)=TRUE),IF(ISERROR(SEARCH("NA",Summary_big_cities!O100)=TRUE),"Sensitive","Normal"),"Less sensitive"),""))</f>
        <v/>
      </c>
    </row>
    <row r="308" spans="1:10" x14ac:dyDescent="0.2">
      <c r="A308" s="6" t="str">
        <f>IF(Summary_big_cities!B101&lt;&gt;0,Summary_big_cities!B101,IF(Summary_big_cities!S101&lt;&gt;0,Summary_big_cities!S101,""))</f>
        <v/>
      </c>
      <c r="B308" s="6" t="str">
        <f>IF(A308="","",IF(Summary_big_cities!A101&lt;&gt;0,Summary_big_cities!A101,Summary_big_cities!R101))</f>
        <v/>
      </c>
      <c r="C308" s="5" t="str">
        <f>IF(A308="","",Summary_big_cities!C101)</f>
        <v/>
      </c>
      <c r="D308" s="5" t="str">
        <f>IF(A308="","",Summary_big_cities!E101)</f>
        <v/>
      </c>
      <c r="E308" s="5" t="str">
        <f>IF(A308="","",Summary_big_cities!G101)</f>
        <v/>
      </c>
      <c r="F308" s="4" t="str">
        <f>IF(A308="","",Summary_big_cities!F101)</f>
        <v/>
      </c>
      <c r="G308" s="3" t="str">
        <f>IF(A308="","",Summary_big_cities!T101)</f>
        <v/>
      </c>
      <c r="H308" s="3" t="str">
        <f>IF(A308="","",Summary_big_cities!U101)</f>
        <v/>
      </c>
      <c r="I308" s="3" t="str">
        <f>IF(A308="","",Summary_big_cities!V101)</f>
        <v/>
      </c>
      <c r="J308" s="2" t="str">
        <f>IF(A308="","",IF(Summary_big_cities!O101&lt;&gt;0,IF(ISERROR(SEARCH("LSA",Summary_big_cities!O101)=TRUE),IF(ISERROR(SEARCH("NA",Summary_big_cities!O101)=TRUE),"Sensitive","Normal"),"Less sensitive"),""))</f>
        <v/>
      </c>
    </row>
    <row r="309" spans="1:10" x14ac:dyDescent="0.2">
      <c r="A309" s="6" t="str">
        <f>IF(Summary_big_cities!B102&lt;&gt;0,Summary_big_cities!B102,IF(Summary_big_cities!S102&lt;&gt;0,Summary_big_cities!S102,""))</f>
        <v/>
      </c>
      <c r="B309" s="6" t="str">
        <f>IF(A309="","",IF(Summary_big_cities!A102&lt;&gt;0,Summary_big_cities!A102,Summary_big_cities!R102))</f>
        <v/>
      </c>
      <c r="C309" s="5" t="str">
        <f>IF(A309="","",Summary_big_cities!C102)</f>
        <v/>
      </c>
      <c r="D309" s="5" t="str">
        <f>IF(A309="","",Summary_big_cities!E102)</f>
        <v/>
      </c>
      <c r="E309" s="5" t="str">
        <f>IF(A309="","",Summary_big_cities!G102)</f>
        <v/>
      </c>
      <c r="F309" s="4" t="str">
        <f>IF(A309="","",Summary_big_cities!F102)</f>
        <v/>
      </c>
      <c r="G309" s="3" t="str">
        <f>IF(A309="","",Summary_big_cities!T102)</f>
        <v/>
      </c>
      <c r="H309" s="3" t="str">
        <f>IF(A309="","",Summary_big_cities!U102)</f>
        <v/>
      </c>
      <c r="I309" s="3" t="str">
        <f>IF(A309="","",Summary_big_cities!V102)</f>
        <v/>
      </c>
      <c r="J309" s="2" t="str">
        <f>IF(A309="","",IF(Summary_big_cities!O102&lt;&gt;0,IF(ISERROR(SEARCH("LSA",Summary_big_cities!O102)=TRUE),IF(ISERROR(SEARCH("NA",Summary_big_cities!O102)=TRUE),"Sensitive","Normal"),"Less sensitive"),""))</f>
        <v/>
      </c>
    </row>
    <row r="310" spans="1:10" x14ac:dyDescent="0.2">
      <c r="A310" s="6" t="str">
        <f>IF(Summary_big_cities!B103&lt;&gt;0,Summary_big_cities!B103,IF(Summary_big_cities!S103&lt;&gt;0,Summary_big_cities!S103,""))</f>
        <v/>
      </c>
      <c r="B310" s="6" t="str">
        <f>IF(A310="","",IF(Summary_big_cities!A103&lt;&gt;0,Summary_big_cities!A103,Summary_big_cities!R103))</f>
        <v/>
      </c>
      <c r="C310" s="5" t="str">
        <f>IF(A310="","",Summary_big_cities!C103)</f>
        <v/>
      </c>
      <c r="D310" s="5" t="str">
        <f>IF(A310="","",Summary_big_cities!E103)</f>
        <v/>
      </c>
      <c r="E310" s="5" t="str">
        <f>IF(A310="","",Summary_big_cities!G103)</f>
        <v/>
      </c>
      <c r="F310" s="4" t="str">
        <f>IF(A310="","",Summary_big_cities!F103)</f>
        <v/>
      </c>
      <c r="G310" s="3" t="str">
        <f>IF(A310="","",Summary_big_cities!T103)</f>
        <v/>
      </c>
      <c r="H310" s="3" t="str">
        <f>IF(A310="","",Summary_big_cities!U103)</f>
        <v/>
      </c>
      <c r="I310" s="3" t="str">
        <f>IF(A310="","",Summary_big_cities!V103)</f>
        <v/>
      </c>
      <c r="J310" s="2" t="str">
        <f>IF(A310="","",IF(Summary_big_cities!O103&lt;&gt;0,IF(ISERROR(SEARCH("LSA",Summary_big_cities!O103)=TRUE),IF(ISERROR(SEARCH("NA",Summary_big_cities!O103)=TRUE),"Sensitive","Normal"),"Less sensitive"),""))</f>
        <v/>
      </c>
    </row>
    <row r="311" spans="1:10" x14ac:dyDescent="0.2">
      <c r="A311" s="6" t="str">
        <f>IF(Summary_big_cities!B104&lt;&gt;0,Summary_big_cities!B104,IF(Summary_big_cities!S104&lt;&gt;0,Summary_big_cities!S104,""))</f>
        <v/>
      </c>
      <c r="B311" s="6" t="str">
        <f>IF(A311="","",IF(Summary_big_cities!A104&lt;&gt;0,Summary_big_cities!A104,Summary_big_cities!R104))</f>
        <v/>
      </c>
      <c r="C311" s="5" t="str">
        <f>IF(A311="","",Summary_big_cities!C104)</f>
        <v/>
      </c>
      <c r="D311" s="5" t="str">
        <f>IF(A311="","",Summary_big_cities!E104)</f>
        <v/>
      </c>
      <c r="E311" s="5" t="str">
        <f>IF(A311="","",Summary_big_cities!G104)</f>
        <v/>
      </c>
      <c r="F311" s="4" t="str">
        <f>IF(A311="","",Summary_big_cities!F104)</f>
        <v/>
      </c>
      <c r="G311" s="3" t="str">
        <f>IF(A311="","",Summary_big_cities!T104)</f>
        <v/>
      </c>
      <c r="H311" s="3" t="str">
        <f>IF(A311="","",Summary_big_cities!U104)</f>
        <v/>
      </c>
      <c r="I311" s="3" t="str">
        <f>IF(A311="","",Summary_big_cities!V104)</f>
        <v/>
      </c>
      <c r="J311" s="2" t="str">
        <f>IF(A311="","",IF(Summary_big_cities!O104&lt;&gt;0,IF(ISERROR(SEARCH("LSA",Summary_big_cities!O104)=TRUE),IF(ISERROR(SEARCH("NA",Summary_big_cities!O104)=TRUE),"Sensitive","Normal"),"Less sensitive"),""))</f>
        <v/>
      </c>
    </row>
    <row r="312" spans="1:10" x14ac:dyDescent="0.2">
      <c r="A312" s="6" t="str">
        <f>IF(Summary_big_cities!B105&lt;&gt;0,Summary_big_cities!B105,IF(Summary_big_cities!S105&lt;&gt;0,Summary_big_cities!S105,""))</f>
        <v/>
      </c>
      <c r="B312" s="6" t="str">
        <f>IF(A312="","",IF(Summary_big_cities!A105&lt;&gt;0,Summary_big_cities!A105,Summary_big_cities!R105))</f>
        <v/>
      </c>
      <c r="C312" s="5" t="str">
        <f>IF(A312="","",Summary_big_cities!C105)</f>
        <v/>
      </c>
      <c r="D312" s="5" t="str">
        <f>IF(A312="","",Summary_big_cities!E105)</f>
        <v/>
      </c>
      <c r="E312" s="5" t="str">
        <f>IF(A312="","",Summary_big_cities!G105)</f>
        <v/>
      </c>
      <c r="F312" s="4" t="str">
        <f>IF(A312="","",Summary_big_cities!F105)</f>
        <v/>
      </c>
      <c r="G312" s="3" t="str">
        <f>IF(A312="","",Summary_big_cities!T105)</f>
        <v/>
      </c>
      <c r="H312" s="3" t="str">
        <f>IF(A312="","",Summary_big_cities!U105)</f>
        <v/>
      </c>
      <c r="I312" s="3" t="str">
        <f>IF(A312="","",Summary_big_cities!V105)</f>
        <v/>
      </c>
      <c r="J312" s="2" t="str">
        <f>IF(A312="","",IF(Summary_big_cities!O105&lt;&gt;0,IF(ISERROR(SEARCH("LSA",Summary_big_cities!O105)=TRUE),IF(ISERROR(SEARCH("NA",Summary_big_cities!O105)=TRUE),"Sensitive","Normal"),"Less sensitive"),""))</f>
        <v/>
      </c>
    </row>
    <row r="313" spans="1:10" x14ac:dyDescent="0.2">
      <c r="A313" s="6" t="str">
        <f>IF(Summary_big_cities!B106&lt;&gt;0,Summary_big_cities!B106,IF(Summary_big_cities!S106&lt;&gt;0,Summary_big_cities!S106,""))</f>
        <v/>
      </c>
      <c r="B313" s="6" t="str">
        <f>IF(A313="","",IF(Summary_big_cities!A106&lt;&gt;0,Summary_big_cities!A106,Summary_big_cities!R106))</f>
        <v/>
      </c>
      <c r="C313" s="5" t="str">
        <f>IF(A313="","",Summary_big_cities!C106)</f>
        <v/>
      </c>
      <c r="D313" s="5" t="str">
        <f>IF(A313="","",Summary_big_cities!E106)</f>
        <v/>
      </c>
      <c r="E313" s="5" t="str">
        <f>IF(A313="","",Summary_big_cities!G106)</f>
        <v/>
      </c>
      <c r="F313" s="4" t="str">
        <f>IF(A313="","",Summary_big_cities!F106)</f>
        <v/>
      </c>
      <c r="G313" s="3" t="str">
        <f>IF(A313="","",Summary_big_cities!T106)</f>
        <v/>
      </c>
      <c r="H313" s="3" t="str">
        <f>IF(A313="","",Summary_big_cities!U106)</f>
        <v/>
      </c>
      <c r="I313" s="3" t="str">
        <f>IF(A313="","",Summary_big_cities!V106)</f>
        <v/>
      </c>
      <c r="J313" s="2" t="str">
        <f>IF(A313="","",IF(Summary_big_cities!O106&lt;&gt;0,IF(ISERROR(SEARCH("LSA",Summary_big_cities!O106)=TRUE),IF(ISERROR(SEARCH("NA",Summary_big_cities!O106)=TRUE),"Sensitive","Normal"),"Less sensitive"),""))</f>
        <v/>
      </c>
    </row>
    <row r="314" spans="1:10" x14ac:dyDescent="0.2">
      <c r="A314" s="6" t="str">
        <f>IF(Summary_big_cities!B107&lt;&gt;0,Summary_big_cities!B107,IF(Summary_big_cities!S107&lt;&gt;0,Summary_big_cities!S107,""))</f>
        <v/>
      </c>
      <c r="B314" s="6" t="str">
        <f>IF(A314="","",IF(Summary_big_cities!A107&lt;&gt;0,Summary_big_cities!A107,Summary_big_cities!R107))</f>
        <v/>
      </c>
      <c r="C314" s="5" t="str">
        <f>IF(A314="","",Summary_big_cities!C107)</f>
        <v/>
      </c>
      <c r="D314" s="5" t="str">
        <f>IF(A314="","",Summary_big_cities!E107)</f>
        <v/>
      </c>
      <c r="E314" s="5" t="str">
        <f>IF(A314="","",Summary_big_cities!G107)</f>
        <v/>
      </c>
      <c r="F314" s="4" t="str">
        <f>IF(A314="","",Summary_big_cities!F107)</f>
        <v/>
      </c>
      <c r="G314" s="3" t="str">
        <f>IF(A314="","",Summary_big_cities!T107)</f>
        <v/>
      </c>
      <c r="H314" s="3" t="str">
        <f>IF(A314="","",Summary_big_cities!U107)</f>
        <v/>
      </c>
      <c r="I314" s="3" t="str">
        <f>IF(A314="","",Summary_big_cities!V107)</f>
        <v/>
      </c>
      <c r="J314" s="2" t="str">
        <f>IF(A314="","",IF(Summary_big_cities!O107&lt;&gt;0,IF(ISERROR(SEARCH("LSA",Summary_big_cities!O107)=TRUE),IF(ISERROR(SEARCH("NA",Summary_big_cities!O107)=TRUE),"Sensitive","Normal"),"Less sensitive"),""))</f>
        <v/>
      </c>
    </row>
    <row r="315" spans="1:10" x14ac:dyDescent="0.2">
      <c r="A315" s="6" t="str">
        <f>IF(Summary_big_cities!B108&lt;&gt;0,Summary_big_cities!B108,IF(Summary_big_cities!S108&lt;&gt;0,Summary_big_cities!S108,""))</f>
        <v/>
      </c>
      <c r="B315" s="6" t="str">
        <f>IF(A315="","",IF(Summary_big_cities!A108&lt;&gt;0,Summary_big_cities!A108,Summary_big_cities!R108))</f>
        <v/>
      </c>
      <c r="C315" s="5" t="str">
        <f>IF(A315="","",Summary_big_cities!C108)</f>
        <v/>
      </c>
      <c r="D315" s="5" t="str">
        <f>IF(A315="","",Summary_big_cities!E108)</f>
        <v/>
      </c>
      <c r="E315" s="5" t="str">
        <f>IF(A315="","",Summary_big_cities!G108)</f>
        <v/>
      </c>
      <c r="F315" s="4" t="str">
        <f>IF(A315="","",Summary_big_cities!F108)</f>
        <v/>
      </c>
      <c r="G315" s="3" t="str">
        <f>IF(A315="","",Summary_big_cities!T108)</f>
        <v/>
      </c>
      <c r="H315" s="3" t="str">
        <f>IF(A315="","",Summary_big_cities!U108)</f>
        <v/>
      </c>
      <c r="I315" s="3" t="str">
        <f>IF(A315="","",Summary_big_cities!V108)</f>
        <v/>
      </c>
      <c r="J315" s="2" t="str">
        <f>IF(A315="","",IF(Summary_big_cities!O108&lt;&gt;0,IF(ISERROR(SEARCH("LSA",Summary_big_cities!O108)=TRUE),IF(ISERROR(SEARCH("NA",Summary_big_cities!O108)=TRUE),"Sensitive","Normal"),"Less sensitive"),""))</f>
        <v/>
      </c>
    </row>
    <row r="316" spans="1:10" x14ac:dyDescent="0.2">
      <c r="A316" s="6" t="str">
        <f>IF(Summary_big_cities!B109&lt;&gt;0,Summary_big_cities!B109,IF(Summary_big_cities!S109&lt;&gt;0,Summary_big_cities!S109,""))</f>
        <v/>
      </c>
      <c r="B316" s="6" t="str">
        <f>IF(A316="","",IF(Summary_big_cities!A109&lt;&gt;0,Summary_big_cities!A109,Summary_big_cities!R109))</f>
        <v/>
      </c>
      <c r="C316" s="5" t="str">
        <f>IF(A316="","",Summary_big_cities!C109)</f>
        <v/>
      </c>
      <c r="D316" s="5" t="str">
        <f>IF(A316="","",Summary_big_cities!E109)</f>
        <v/>
      </c>
      <c r="E316" s="5" t="str">
        <f>IF(A316="","",Summary_big_cities!G109)</f>
        <v/>
      </c>
      <c r="F316" s="4" t="str">
        <f>IF(A316="","",Summary_big_cities!F109)</f>
        <v/>
      </c>
      <c r="G316" s="3" t="str">
        <f>IF(A316="","",Summary_big_cities!T109)</f>
        <v/>
      </c>
      <c r="H316" s="3" t="str">
        <f>IF(A316="","",Summary_big_cities!U109)</f>
        <v/>
      </c>
      <c r="I316" s="3" t="str">
        <f>IF(A316="","",Summary_big_cities!V109)</f>
        <v/>
      </c>
      <c r="J316" s="2" t="str">
        <f>IF(A316="","",IF(Summary_big_cities!O109&lt;&gt;0,IF(ISERROR(SEARCH("LSA",Summary_big_cities!O109)=TRUE),IF(ISERROR(SEARCH("NA",Summary_big_cities!O109)=TRUE),"Sensitive","Normal"),"Less sensitive"),""))</f>
        <v/>
      </c>
    </row>
    <row r="317" spans="1:10" x14ac:dyDescent="0.2">
      <c r="A317" s="6" t="str">
        <f>IF(Summary_big_cities!B110&lt;&gt;0,Summary_big_cities!B110,IF(Summary_big_cities!S110&lt;&gt;0,Summary_big_cities!S110,""))</f>
        <v/>
      </c>
      <c r="B317" s="6" t="str">
        <f>IF(A317="","",IF(Summary_big_cities!A110&lt;&gt;0,Summary_big_cities!A110,Summary_big_cities!R110))</f>
        <v/>
      </c>
      <c r="C317" s="5" t="str">
        <f>IF(A317="","",Summary_big_cities!C110)</f>
        <v/>
      </c>
      <c r="D317" s="5" t="str">
        <f>IF(A317="","",Summary_big_cities!E110)</f>
        <v/>
      </c>
      <c r="E317" s="5" t="str">
        <f>IF(A317="","",Summary_big_cities!G110)</f>
        <v/>
      </c>
      <c r="F317" s="4" t="str">
        <f>IF(A317="","",Summary_big_cities!F110)</f>
        <v/>
      </c>
      <c r="G317" s="3" t="str">
        <f>IF(A317="","",Summary_big_cities!T110)</f>
        <v/>
      </c>
      <c r="H317" s="3" t="str">
        <f>IF(A317="","",Summary_big_cities!U110)</f>
        <v/>
      </c>
      <c r="I317" s="3" t="str">
        <f>IF(A317="","",Summary_big_cities!V110)</f>
        <v/>
      </c>
      <c r="J317" s="2" t="str">
        <f>IF(A317="","",IF(Summary_big_cities!O110&lt;&gt;0,IF(ISERROR(SEARCH("LSA",Summary_big_cities!O110)=TRUE),IF(ISERROR(SEARCH("NA",Summary_big_cities!O110)=TRUE),"Sensitive","Normal"),"Less sensitive"),""))</f>
        <v/>
      </c>
    </row>
    <row r="318" spans="1:10" x14ac:dyDescent="0.2">
      <c r="A318" s="6" t="str">
        <f>IF(Summary_big_cities!B111&lt;&gt;0,Summary_big_cities!B111,IF(Summary_big_cities!S111&lt;&gt;0,Summary_big_cities!S111,""))</f>
        <v/>
      </c>
      <c r="B318" s="6" t="str">
        <f>IF(A318="","",IF(Summary_big_cities!A111&lt;&gt;0,Summary_big_cities!A111,Summary_big_cities!R111))</f>
        <v/>
      </c>
      <c r="C318" s="5" t="str">
        <f>IF(A318="","",Summary_big_cities!C111)</f>
        <v/>
      </c>
      <c r="D318" s="5" t="str">
        <f>IF(A318="","",Summary_big_cities!E111)</f>
        <v/>
      </c>
      <c r="E318" s="5" t="str">
        <f>IF(A318="","",Summary_big_cities!G111)</f>
        <v/>
      </c>
      <c r="F318" s="4" t="str">
        <f>IF(A318="","",Summary_big_cities!F111)</f>
        <v/>
      </c>
      <c r="G318" s="3" t="str">
        <f>IF(A318="","",Summary_big_cities!T111)</f>
        <v/>
      </c>
      <c r="H318" s="3" t="str">
        <f>IF(A318="","",Summary_big_cities!U111)</f>
        <v/>
      </c>
      <c r="I318" s="3" t="str">
        <f>IF(A318="","",Summary_big_cities!V111)</f>
        <v/>
      </c>
      <c r="J318" s="2" t="str">
        <f>IF(A318="","",IF(Summary_big_cities!O111&lt;&gt;0,IF(ISERROR(SEARCH("LSA",Summary_big_cities!O111)=TRUE),IF(ISERROR(SEARCH("NA",Summary_big_cities!O111)=TRUE),"Sensitive","Normal"),"Less sensitive"),""))</f>
        <v/>
      </c>
    </row>
    <row r="319" spans="1:10" x14ac:dyDescent="0.2">
      <c r="A319" s="6" t="str">
        <f>IF(Summary_big_cities!B112&lt;&gt;0,Summary_big_cities!B112,IF(Summary_big_cities!S112&lt;&gt;0,Summary_big_cities!S112,""))</f>
        <v/>
      </c>
      <c r="B319" s="6" t="str">
        <f>IF(A319="","",IF(Summary_big_cities!A112&lt;&gt;0,Summary_big_cities!A112,Summary_big_cities!R112))</f>
        <v/>
      </c>
      <c r="C319" s="5" t="str">
        <f>IF(A319="","",Summary_big_cities!C112)</f>
        <v/>
      </c>
      <c r="D319" s="5" t="str">
        <f>IF(A319="","",Summary_big_cities!E112)</f>
        <v/>
      </c>
      <c r="E319" s="5" t="str">
        <f>IF(A319="","",Summary_big_cities!G112)</f>
        <v/>
      </c>
      <c r="F319" s="4" t="str">
        <f>IF(A319="","",Summary_big_cities!F112)</f>
        <v/>
      </c>
      <c r="G319" s="3" t="str">
        <f>IF(A319="","",Summary_big_cities!T112)</f>
        <v/>
      </c>
      <c r="H319" s="3" t="str">
        <f>IF(A319="","",Summary_big_cities!U112)</f>
        <v/>
      </c>
      <c r="I319" s="3" t="str">
        <f>IF(A319="","",Summary_big_cities!V112)</f>
        <v/>
      </c>
      <c r="J319" s="2" t="str">
        <f>IF(A319="","",IF(Summary_big_cities!O112&lt;&gt;0,IF(ISERROR(SEARCH("LSA",Summary_big_cities!O112)=TRUE),IF(ISERROR(SEARCH("NA",Summary_big_cities!O112)=TRUE),"Sensitive","Normal"),"Less sensitive"),""))</f>
        <v/>
      </c>
    </row>
    <row r="320" spans="1:10" x14ac:dyDescent="0.2">
      <c r="A320" s="6" t="str">
        <f>IF(Summary_big_cities!B113&lt;&gt;0,Summary_big_cities!B113,IF(Summary_big_cities!S113&lt;&gt;0,Summary_big_cities!S113,""))</f>
        <v/>
      </c>
      <c r="B320" s="6" t="str">
        <f>IF(A320="","",IF(Summary_big_cities!A113&lt;&gt;0,Summary_big_cities!A113,Summary_big_cities!R113))</f>
        <v/>
      </c>
      <c r="C320" s="5" t="str">
        <f>IF(A320="","",Summary_big_cities!C113)</f>
        <v/>
      </c>
      <c r="D320" s="5" t="str">
        <f>IF(A320="","",Summary_big_cities!E113)</f>
        <v/>
      </c>
      <c r="E320" s="5" t="str">
        <f>IF(A320="","",Summary_big_cities!G113)</f>
        <v/>
      </c>
      <c r="F320" s="4" t="str">
        <f>IF(A320="","",Summary_big_cities!F113)</f>
        <v/>
      </c>
      <c r="G320" s="3" t="str">
        <f>IF(A320="","",Summary_big_cities!T113)</f>
        <v/>
      </c>
      <c r="H320" s="3" t="str">
        <f>IF(A320="","",Summary_big_cities!U113)</f>
        <v/>
      </c>
      <c r="I320" s="3" t="str">
        <f>IF(A320="","",Summary_big_cities!V113)</f>
        <v/>
      </c>
      <c r="J320" s="2" t="str">
        <f>IF(A320="","",IF(Summary_big_cities!O113&lt;&gt;0,IF(ISERROR(SEARCH("LSA",Summary_big_cities!O113)=TRUE),IF(ISERROR(SEARCH("NA",Summary_big_cities!O113)=TRUE),"Sensitive","Normal"),"Less sensitive"),""))</f>
        <v/>
      </c>
    </row>
    <row r="321" spans="1:10" x14ac:dyDescent="0.2">
      <c r="A321" s="6" t="str">
        <f>IF(Summary_big_cities!B114&lt;&gt;0,Summary_big_cities!B114,IF(Summary_big_cities!S114&lt;&gt;0,Summary_big_cities!S114,""))</f>
        <v/>
      </c>
      <c r="B321" s="6" t="str">
        <f>IF(A321="","",IF(Summary_big_cities!A114&lt;&gt;0,Summary_big_cities!A114,Summary_big_cities!R114))</f>
        <v/>
      </c>
      <c r="C321" s="5" t="str">
        <f>IF(A321="","",Summary_big_cities!C114)</f>
        <v/>
      </c>
      <c r="D321" s="5" t="str">
        <f>IF(A321="","",Summary_big_cities!E114)</f>
        <v/>
      </c>
      <c r="E321" s="5" t="str">
        <f>IF(A321="","",Summary_big_cities!G114)</f>
        <v/>
      </c>
      <c r="F321" s="4" t="str">
        <f>IF(A321="","",Summary_big_cities!F114)</f>
        <v/>
      </c>
      <c r="G321" s="3" t="str">
        <f>IF(A321="","",Summary_big_cities!T114)</f>
        <v/>
      </c>
      <c r="H321" s="3" t="str">
        <f>IF(A321="","",Summary_big_cities!U114)</f>
        <v/>
      </c>
      <c r="I321" s="3" t="str">
        <f>IF(A321="","",Summary_big_cities!V114)</f>
        <v/>
      </c>
      <c r="J321" s="2" t="str">
        <f>IF(A321="","",IF(Summary_big_cities!O114&lt;&gt;0,IF(ISERROR(SEARCH("LSA",Summary_big_cities!O114)=TRUE),IF(ISERROR(SEARCH("NA",Summary_big_cities!O114)=TRUE),"Sensitive","Normal"),"Less sensitive"),""))</f>
        <v/>
      </c>
    </row>
    <row r="322" spans="1:10" x14ac:dyDescent="0.2">
      <c r="A322" s="6" t="str">
        <f>IF(Summary_big_cities!B115&lt;&gt;0,Summary_big_cities!B115,IF(Summary_big_cities!S115&lt;&gt;0,Summary_big_cities!S115,""))</f>
        <v/>
      </c>
      <c r="B322" s="6" t="str">
        <f>IF(A322="","",IF(Summary_big_cities!A115&lt;&gt;0,Summary_big_cities!A115,Summary_big_cities!R115))</f>
        <v/>
      </c>
      <c r="C322" s="5" t="str">
        <f>IF(A322="","",Summary_big_cities!C115)</f>
        <v/>
      </c>
      <c r="D322" s="5" t="str">
        <f>IF(A322="","",Summary_big_cities!E115)</f>
        <v/>
      </c>
      <c r="E322" s="5" t="str">
        <f>IF(A322="","",Summary_big_cities!G115)</f>
        <v/>
      </c>
      <c r="F322" s="4" t="str">
        <f>IF(A322="","",Summary_big_cities!F115)</f>
        <v/>
      </c>
      <c r="G322" s="3" t="str">
        <f>IF(A322="","",Summary_big_cities!T115)</f>
        <v/>
      </c>
      <c r="H322" s="3" t="str">
        <f>IF(A322="","",Summary_big_cities!U115)</f>
        <v/>
      </c>
      <c r="I322" s="3" t="str">
        <f>IF(A322="","",Summary_big_cities!V115)</f>
        <v/>
      </c>
      <c r="J322" s="2" t="str">
        <f>IF(A322="","",IF(Summary_big_cities!O115&lt;&gt;0,IF(ISERROR(SEARCH("LSA",Summary_big_cities!O115)=TRUE),IF(ISERROR(SEARCH("NA",Summary_big_cities!O115)=TRUE),"Sensitive","Normal"),"Less sensitive"),""))</f>
        <v/>
      </c>
    </row>
    <row r="323" spans="1:10" x14ac:dyDescent="0.2">
      <c r="A323" s="6" t="str">
        <f>IF(Summary_big_cities!B116&lt;&gt;0,Summary_big_cities!B116,IF(Summary_big_cities!S116&lt;&gt;0,Summary_big_cities!S116,""))</f>
        <v/>
      </c>
      <c r="B323" s="6" t="str">
        <f>IF(A323="","",IF(Summary_big_cities!A116&lt;&gt;0,Summary_big_cities!A116,Summary_big_cities!R116))</f>
        <v/>
      </c>
      <c r="C323" s="5" t="str">
        <f>IF(A323="","",Summary_big_cities!C116)</f>
        <v/>
      </c>
      <c r="D323" s="5" t="str">
        <f>IF(A323="","",Summary_big_cities!E116)</f>
        <v/>
      </c>
      <c r="E323" s="5" t="str">
        <f>IF(A323="","",Summary_big_cities!G116)</f>
        <v/>
      </c>
      <c r="F323" s="4" t="str">
        <f>IF(A323="","",Summary_big_cities!F116)</f>
        <v/>
      </c>
      <c r="G323" s="3" t="str">
        <f>IF(A323="","",Summary_big_cities!T116)</f>
        <v/>
      </c>
      <c r="H323" s="3" t="str">
        <f>IF(A323="","",Summary_big_cities!U116)</f>
        <v/>
      </c>
      <c r="I323" s="3" t="str">
        <f>IF(A323="","",Summary_big_cities!V116)</f>
        <v/>
      </c>
      <c r="J323" s="2" t="str">
        <f>IF(A323="","",IF(Summary_big_cities!O116&lt;&gt;0,IF(ISERROR(SEARCH("LSA",Summary_big_cities!O116)=TRUE),IF(ISERROR(SEARCH("NA",Summary_big_cities!O116)=TRUE),"Sensitive","Normal"),"Less sensitive"),""))</f>
        <v/>
      </c>
    </row>
    <row r="324" spans="1:10" x14ac:dyDescent="0.2">
      <c r="A324" s="6" t="str">
        <f>IF(Summary_big_cities!B117&lt;&gt;0,Summary_big_cities!B117,IF(Summary_big_cities!S117&lt;&gt;0,Summary_big_cities!S117,""))</f>
        <v/>
      </c>
      <c r="B324" s="6" t="str">
        <f>IF(A324="","",IF(Summary_big_cities!A117&lt;&gt;0,Summary_big_cities!A117,Summary_big_cities!R117))</f>
        <v/>
      </c>
      <c r="C324" s="5" t="str">
        <f>IF(A324="","",Summary_big_cities!C117)</f>
        <v/>
      </c>
      <c r="D324" s="5" t="str">
        <f>IF(A324="","",Summary_big_cities!E117)</f>
        <v/>
      </c>
      <c r="E324" s="5" t="str">
        <f>IF(A324="","",Summary_big_cities!G117)</f>
        <v/>
      </c>
      <c r="F324" s="4" t="str">
        <f>IF(A324="","",Summary_big_cities!F117)</f>
        <v/>
      </c>
      <c r="G324" s="3" t="str">
        <f>IF(A324="","",Summary_big_cities!T117)</f>
        <v/>
      </c>
      <c r="H324" s="3" t="str">
        <f>IF(A324="","",Summary_big_cities!U117)</f>
        <v/>
      </c>
      <c r="I324" s="3" t="str">
        <f>IF(A324="","",Summary_big_cities!V117)</f>
        <v/>
      </c>
      <c r="J324" s="2" t="str">
        <f>IF(A324="","",IF(Summary_big_cities!O117&lt;&gt;0,IF(ISERROR(SEARCH("LSA",Summary_big_cities!O117)=TRUE),IF(ISERROR(SEARCH("NA",Summary_big_cities!O117)=TRUE),"Sensitive","Normal"),"Less sensitive"),""))</f>
        <v/>
      </c>
    </row>
    <row r="325" spans="1:10" x14ac:dyDescent="0.2">
      <c r="A325" s="6" t="str">
        <f>IF(Summary_big_cities!B118&lt;&gt;0,Summary_big_cities!B118,IF(Summary_big_cities!S118&lt;&gt;0,Summary_big_cities!S118,""))</f>
        <v/>
      </c>
      <c r="B325" s="6" t="str">
        <f>IF(A325="","",IF(Summary_big_cities!A118&lt;&gt;0,Summary_big_cities!A118,Summary_big_cities!R118))</f>
        <v/>
      </c>
      <c r="C325" s="5" t="str">
        <f>IF(A325="","",Summary_big_cities!C118)</f>
        <v/>
      </c>
      <c r="D325" s="5" t="str">
        <f>IF(A325="","",Summary_big_cities!E118)</f>
        <v/>
      </c>
      <c r="E325" s="5" t="str">
        <f>IF(A325="","",Summary_big_cities!G118)</f>
        <v/>
      </c>
      <c r="F325" s="4" t="str">
        <f>IF(A325="","",Summary_big_cities!F118)</f>
        <v/>
      </c>
      <c r="G325" s="3" t="str">
        <f>IF(A325="","",Summary_big_cities!T118)</f>
        <v/>
      </c>
      <c r="H325" s="3" t="str">
        <f>IF(A325="","",Summary_big_cities!U118)</f>
        <v/>
      </c>
      <c r="I325" s="3" t="str">
        <f>IF(A325="","",Summary_big_cities!V118)</f>
        <v/>
      </c>
      <c r="J325" s="2" t="str">
        <f>IF(A325="","",IF(Summary_big_cities!O118&lt;&gt;0,IF(ISERROR(SEARCH("LSA",Summary_big_cities!O118)=TRUE),IF(ISERROR(SEARCH("NA",Summary_big_cities!O118)=TRUE),"Sensitive","Normal"),"Less sensitive"),""))</f>
        <v/>
      </c>
    </row>
    <row r="326" spans="1:10" x14ac:dyDescent="0.2">
      <c r="A326" s="6" t="str">
        <f>IF(Summary_big_cities!B119&lt;&gt;0,Summary_big_cities!B119,IF(Summary_big_cities!S119&lt;&gt;0,Summary_big_cities!S119,""))</f>
        <v/>
      </c>
      <c r="B326" s="6" t="str">
        <f>IF(A326="","",IF(Summary_big_cities!A119&lt;&gt;0,Summary_big_cities!A119,Summary_big_cities!R119))</f>
        <v/>
      </c>
      <c r="C326" s="5" t="str">
        <f>IF(A326="","",Summary_big_cities!C119)</f>
        <v/>
      </c>
      <c r="D326" s="5" t="str">
        <f>IF(A326="","",Summary_big_cities!E119)</f>
        <v/>
      </c>
      <c r="E326" s="5" t="str">
        <f>IF(A326="","",Summary_big_cities!G119)</f>
        <v/>
      </c>
      <c r="F326" s="4" t="str">
        <f>IF(A326="","",Summary_big_cities!F119)</f>
        <v/>
      </c>
      <c r="G326" s="3" t="str">
        <f>IF(A326="","",Summary_big_cities!T119)</f>
        <v/>
      </c>
      <c r="H326" s="3" t="str">
        <f>IF(A326="","",Summary_big_cities!U119)</f>
        <v/>
      </c>
      <c r="I326" s="3" t="str">
        <f>IF(A326="","",Summary_big_cities!V119)</f>
        <v/>
      </c>
      <c r="J326" s="2" t="str">
        <f>IF(A326="","",IF(Summary_big_cities!O119&lt;&gt;0,IF(ISERROR(SEARCH("LSA",Summary_big_cities!O119)=TRUE),IF(ISERROR(SEARCH("NA",Summary_big_cities!O119)=TRUE),"Sensitive","Normal"),"Less sensitive"),""))</f>
        <v/>
      </c>
    </row>
    <row r="327" spans="1:10" x14ac:dyDescent="0.2">
      <c r="A327" s="6" t="str">
        <f>IF(Summary_big_cities!B120&lt;&gt;0,Summary_big_cities!B120,IF(Summary_big_cities!S120&lt;&gt;0,Summary_big_cities!S120,""))</f>
        <v/>
      </c>
      <c r="B327" s="6" t="str">
        <f>IF(A327="","",IF(Summary_big_cities!A120&lt;&gt;0,Summary_big_cities!A120,Summary_big_cities!R120))</f>
        <v/>
      </c>
      <c r="C327" s="5" t="str">
        <f>IF(A327="","",Summary_big_cities!C120)</f>
        <v/>
      </c>
      <c r="D327" s="5" t="str">
        <f>IF(A327="","",Summary_big_cities!E120)</f>
        <v/>
      </c>
      <c r="E327" s="5" t="str">
        <f>IF(A327="","",Summary_big_cities!G120)</f>
        <v/>
      </c>
      <c r="F327" s="4" t="str">
        <f>IF(A327="","",Summary_big_cities!F120)</f>
        <v/>
      </c>
      <c r="G327" s="3" t="str">
        <f>IF(A327="","",Summary_big_cities!T120)</f>
        <v/>
      </c>
      <c r="H327" s="3" t="str">
        <f>IF(A327="","",Summary_big_cities!U120)</f>
        <v/>
      </c>
      <c r="I327" s="3" t="str">
        <f>IF(A327="","",Summary_big_cities!V120)</f>
        <v/>
      </c>
      <c r="J327" s="2" t="str">
        <f>IF(A327="","",IF(Summary_big_cities!O120&lt;&gt;0,IF(ISERROR(SEARCH("LSA",Summary_big_cities!O120)=TRUE),IF(ISERROR(SEARCH("NA",Summary_big_cities!O120)=TRUE),"Sensitive","Normal"),"Less sensitive"),""))</f>
        <v/>
      </c>
    </row>
    <row r="328" spans="1:10" x14ac:dyDescent="0.2">
      <c r="A328" s="6" t="str">
        <f>IF(Summary_big_cities!B121&lt;&gt;0,Summary_big_cities!B121,IF(Summary_big_cities!S121&lt;&gt;0,Summary_big_cities!S121,""))</f>
        <v/>
      </c>
      <c r="B328" s="6" t="str">
        <f>IF(A328="","",IF(Summary_big_cities!A121&lt;&gt;0,Summary_big_cities!A121,Summary_big_cities!R121))</f>
        <v/>
      </c>
      <c r="C328" s="5" t="str">
        <f>IF(A328="","",Summary_big_cities!C121)</f>
        <v/>
      </c>
      <c r="D328" s="5" t="str">
        <f>IF(A328="","",Summary_big_cities!E121)</f>
        <v/>
      </c>
      <c r="E328" s="5" t="str">
        <f>IF(A328="","",Summary_big_cities!G121)</f>
        <v/>
      </c>
      <c r="F328" s="4" t="str">
        <f>IF(A328="","",Summary_big_cities!F121)</f>
        <v/>
      </c>
      <c r="G328" s="3" t="str">
        <f>IF(A328="","",Summary_big_cities!T121)</f>
        <v/>
      </c>
      <c r="H328" s="3" t="str">
        <f>IF(A328="","",Summary_big_cities!U121)</f>
        <v/>
      </c>
      <c r="I328" s="3" t="str">
        <f>IF(A328="","",Summary_big_cities!V121)</f>
        <v/>
      </c>
      <c r="J328" s="2" t="str">
        <f>IF(A328="","",IF(Summary_big_cities!O121&lt;&gt;0,IF(ISERROR(SEARCH("LSA",Summary_big_cities!O121)=TRUE),IF(ISERROR(SEARCH("NA",Summary_big_cities!O121)=TRUE),"Sensitive","Normal"),"Less sensitive"),""))</f>
        <v/>
      </c>
    </row>
    <row r="329" spans="1:10" x14ac:dyDescent="0.2">
      <c r="A329" s="6" t="str">
        <f>IF(Summary_big_cities!B122&lt;&gt;0,Summary_big_cities!B122,IF(Summary_big_cities!S122&lt;&gt;0,Summary_big_cities!S122,""))</f>
        <v/>
      </c>
      <c r="B329" s="6" t="str">
        <f>IF(A329="","",IF(Summary_big_cities!A122&lt;&gt;0,Summary_big_cities!A122,Summary_big_cities!R122))</f>
        <v/>
      </c>
      <c r="C329" s="5" t="str">
        <f>IF(A329="","",Summary_big_cities!C122)</f>
        <v/>
      </c>
      <c r="D329" s="5" t="str">
        <f>IF(A329="","",Summary_big_cities!E122)</f>
        <v/>
      </c>
      <c r="E329" s="5" t="str">
        <f>IF(A329="","",Summary_big_cities!G122)</f>
        <v/>
      </c>
      <c r="F329" s="4" t="str">
        <f>IF(A329="","",Summary_big_cities!F122)</f>
        <v/>
      </c>
      <c r="G329" s="3" t="str">
        <f>IF(A329="","",Summary_big_cities!T122)</f>
        <v/>
      </c>
      <c r="H329" s="3" t="str">
        <f>IF(A329="","",Summary_big_cities!U122)</f>
        <v/>
      </c>
      <c r="I329" s="3" t="str">
        <f>IF(A329="","",Summary_big_cities!V122)</f>
        <v/>
      </c>
      <c r="J329" s="2" t="str">
        <f>IF(A329="","",IF(Summary_big_cities!O122&lt;&gt;0,IF(ISERROR(SEARCH("LSA",Summary_big_cities!O122)=TRUE),IF(ISERROR(SEARCH("NA",Summary_big_cities!O122)=TRUE),"Sensitive","Normal"),"Less sensitive"),""))</f>
        <v/>
      </c>
    </row>
    <row r="330" spans="1:10" x14ac:dyDescent="0.2">
      <c r="A330" s="6" t="str">
        <f>IF(Summary_big_cities!B123&lt;&gt;0,Summary_big_cities!B123,IF(Summary_big_cities!S123&lt;&gt;0,Summary_big_cities!S123,""))</f>
        <v/>
      </c>
      <c r="B330" s="6" t="str">
        <f>IF(A330="","",IF(Summary_big_cities!A123&lt;&gt;0,Summary_big_cities!A123,Summary_big_cities!R123))</f>
        <v/>
      </c>
      <c r="C330" s="5" t="str">
        <f>IF(A330="","",Summary_big_cities!C123)</f>
        <v/>
      </c>
      <c r="D330" s="5" t="str">
        <f>IF(A330="","",Summary_big_cities!E123)</f>
        <v/>
      </c>
      <c r="E330" s="5" t="str">
        <f>IF(A330="","",Summary_big_cities!G123)</f>
        <v/>
      </c>
      <c r="F330" s="4" t="str">
        <f>IF(A330="","",Summary_big_cities!F123)</f>
        <v/>
      </c>
      <c r="G330" s="3" t="str">
        <f>IF(A330="","",Summary_big_cities!T123)</f>
        <v/>
      </c>
      <c r="H330" s="3" t="str">
        <f>IF(A330="","",Summary_big_cities!U123)</f>
        <v/>
      </c>
      <c r="I330" s="3" t="str">
        <f>IF(A330="","",Summary_big_cities!V123)</f>
        <v/>
      </c>
      <c r="J330" s="2" t="str">
        <f>IF(A330="","",IF(Summary_big_cities!O123&lt;&gt;0,IF(ISERROR(SEARCH("LSA",Summary_big_cities!O123)=TRUE),IF(ISERROR(SEARCH("NA",Summary_big_cities!O123)=TRUE),"Sensitive","Normal"),"Less sensitive"),""))</f>
        <v/>
      </c>
    </row>
    <row r="331" spans="1:10" x14ac:dyDescent="0.2">
      <c r="A331" s="6" t="str">
        <f>IF(Summary_big_cities!B124&lt;&gt;0,Summary_big_cities!B124,IF(Summary_big_cities!S124&lt;&gt;0,Summary_big_cities!S124,""))</f>
        <v/>
      </c>
      <c r="B331" s="6" t="str">
        <f>IF(A331="","",IF(Summary_big_cities!A124&lt;&gt;0,Summary_big_cities!A124,Summary_big_cities!R124))</f>
        <v/>
      </c>
      <c r="C331" s="5" t="str">
        <f>IF(A331="","",Summary_big_cities!C124)</f>
        <v/>
      </c>
      <c r="D331" s="5" t="str">
        <f>IF(A331="","",Summary_big_cities!E124)</f>
        <v/>
      </c>
      <c r="E331" s="5" t="str">
        <f>IF(A331="","",Summary_big_cities!G124)</f>
        <v/>
      </c>
      <c r="F331" s="4" t="str">
        <f>IF(A331="","",Summary_big_cities!F124)</f>
        <v/>
      </c>
      <c r="G331" s="3" t="str">
        <f>IF(A331="","",Summary_big_cities!T124)</f>
        <v/>
      </c>
      <c r="H331" s="3" t="str">
        <f>IF(A331="","",Summary_big_cities!U124)</f>
        <v/>
      </c>
      <c r="I331" s="3" t="str">
        <f>IF(A331="","",Summary_big_cities!V124)</f>
        <v/>
      </c>
      <c r="J331" s="2" t="str">
        <f>IF(A331="","",IF(Summary_big_cities!O124&lt;&gt;0,IF(ISERROR(SEARCH("LSA",Summary_big_cities!O124)=TRUE),IF(ISERROR(SEARCH("NA",Summary_big_cities!O124)=TRUE),"Sensitive","Normal"),"Less sensitive"),""))</f>
        <v/>
      </c>
    </row>
    <row r="332" spans="1:10" x14ac:dyDescent="0.2">
      <c r="A332" s="6" t="str">
        <f>IF(Summary_big_cities!B125&lt;&gt;0,Summary_big_cities!B125,IF(Summary_big_cities!S125&lt;&gt;0,Summary_big_cities!S125,""))</f>
        <v/>
      </c>
      <c r="B332" s="6" t="str">
        <f>IF(A332="","",IF(Summary_big_cities!A125&lt;&gt;0,Summary_big_cities!A125,Summary_big_cities!R125))</f>
        <v/>
      </c>
      <c r="C332" s="5" t="str">
        <f>IF(A332="","",Summary_big_cities!C125)</f>
        <v/>
      </c>
      <c r="D332" s="5" t="str">
        <f>IF(A332="","",Summary_big_cities!E125)</f>
        <v/>
      </c>
      <c r="E332" s="5" t="str">
        <f>IF(A332="","",Summary_big_cities!G125)</f>
        <v/>
      </c>
      <c r="F332" s="4" t="str">
        <f>IF(A332="","",Summary_big_cities!F125)</f>
        <v/>
      </c>
      <c r="G332" s="3" t="str">
        <f>IF(A332="","",Summary_big_cities!T125)</f>
        <v/>
      </c>
      <c r="H332" s="3" t="str">
        <f>IF(A332="","",Summary_big_cities!U125)</f>
        <v/>
      </c>
      <c r="I332" s="3" t="str">
        <f>IF(A332="","",Summary_big_cities!V125)</f>
        <v/>
      </c>
      <c r="J332" s="2" t="str">
        <f>IF(A332="","",IF(Summary_big_cities!O125&lt;&gt;0,IF(ISERROR(SEARCH("LSA",Summary_big_cities!O125)=TRUE),IF(ISERROR(SEARCH("NA",Summary_big_cities!O125)=TRUE),"Sensitive","Normal"),"Less sensitive"),""))</f>
        <v/>
      </c>
    </row>
    <row r="333" spans="1:10" x14ac:dyDescent="0.2">
      <c r="A333" s="6" t="str">
        <f>IF(Summary_big_cities!B126&lt;&gt;0,Summary_big_cities!B126,IF(Summary_big_cities!S126&lt;&gt;0,Summary_big_cities!S126,""))</f>
        <v/>
      </c>
      <c r="B333" s="6" t="str">
        <f>IF(A333="","",IF(Summary_big_cities!A126&lt;&gt;0,Summary_big_cities!A126,Summary_big_cities!R126))</f>
        <v/>
      </c>
      <c r="C333" s="5" t="str">
        <f>IF(A333="","",Summary_big_cities!C126)</f>
        <v/>
      </c>
      <c r="D333" s="5" t="str">
        <f>IF(A333="","",Summary_big_cities!E126)</f>
        <v/>
      </c>
      <c r="E333" s="5" t="str">
        <f>IF(A333="","",Summary_big_cities!G126)</f>
        <v/>
      </c>
      <c r="F333" s="4" t="str">
        <f>IF(A333="","",Summary_big_cities!F126)</f>
        <v/>
      </c>
      <c r="G333" s="3" t="str">
        <f>IF(A333="","",Summary_big_cities!T126)</f>
        <v/>
      </c>
      <c r="H333" s="3" t="str">
        <f>IF(A333="","",Summary_big_cities!U126)</f>
        <v/>
      </c>
      <c r="I333" s="3" t="str">
        <f>IF(A333="","",Summary_big_cities!V126)</f>
        <v/>
      </c>
      <c r="J333" s="2" t="str">
        <f>IF(A333="","",IF(Summary_big_cities!O126&lt;&gt;0,IF(ISERROR(SEARCH("LSA",Summary_big_cities!O126)=TRUE),IF(ISERROR(SEARCH("NA",Summary_big_cities!O126)=TRUE),"Sensitive","Normal"),"Less sensitive"),""))</f>
        <v/>
      </c>
    </row>
    <row r="334" spans="1:10" x14ac:dyDescent="0.2">
      <c r="A334" s="6" t="str">
        <f>IF(Summary_big_cities!B127&lt;&gt;0,Summary_big_cities!B127,IF(Summary_big_cities!S127&lt;&gt;0,Summary_big_cities!S127,""))</f>
        <v/>
      </c>
      <c r="B334" s="6" t="str">
        <f>IF(A334="","",IF(Summary_big_cities!A127&lt;&gt;0,Summary_big_cities!A127,Summary_big_cities!R127))</f>
        <v/>
      </c>
      <c r="C334" s="5" t="str">
        <f>IF(A334="","",Summary_big_cities!C127)</f>
        <v/>
      </c>
      <c r="D334" s="5" t="str">
        <f>IF(A334="","",Summary_big_cities!E127)</f>
        <v/>
      </c>
      <c r="E334" s="5" t="str">
        <f>IF(A334="","",Summary_big_cities!G127)</f>
        <v/>
      </c>
      <c r="F334" s="4" t="str">
        <f>IF(A334="","",Summary_big_cities!F127)</f>
        <v/>
      </c>
      <c r="G334" s="3" t="str">
        <f>IF(A334="","",Summary_big_cities!T127)</f>
        <v/>
      </c>
      <c r="H334" s="3" t="str">
        <f>IF(A334="","",Summary_big_cities!U127)</f>
        <v/>
      </c>
      <c r="I334" s="3" t="str">
        <f>IF(A334="","",Summary_big_cities!V127)</f>
        <v/>
      </c>
      <c r="J334" s="2" t="str">
        <f>IF(A334="","",IF(Summary_big_cities!O127&lt;&gt;0,IF(ISERROR(SEARCH("LSA",Summary_big_cities!O127)=TRUE),IF(ISERROR(SEARCH("NA",Summary_big_cities!O127)=TRUE),"Sensitive","Normal"),"Less sensitive"),""))</f>
        <v/>
      </c>
    </row>
    <row r="335" spans="1:10" x14ac:dyDescent="0.2">
      <c r="A335" s="6" t="str">
        <f>IF(Summary_big_cities!B128&lt;&gt;0,Summary_big_cities!B128,IF(Summary_big_cities!S128&lt;&gt;0,Summary_big_cities!S128,""))</f>
        <v/>
      </c>
      <c r="B335" s="6" t="str">
        <f>IF(A335="","",IF(Summary_big_cities!A128&lt;&gt;0,Summary_big_cities!A128,Summary_big_cities!R128))</f>
        <v/>
      </c>
      <c r="C335" s="5" t="str">
        <f>IF(A335="","",Summary_big_cities!C128)</f>
        <v/>
      </c>
      <c r="D335" s="5" t="str">
        <f>IF(A335="","",Summary_big_cities!E128)</f>
        <v/>
      </c>
      <c r="E335" s="5" t="str">
        <f>IF(A335="","",Summary_big_cities!G128)</f>
        <v/>
      </c>
      <c r="F335" s="4" t="str">
        <f>IF(A335="","",Summary_big_cities!F128)</f>
        <v/>
      </c>
      <c r="G335" s="3" t="str">
        <f>IF(A335="","",Summary_big_cities!T128)</f>
        <v/>
      </c>
      <c r="H335" s="3" t="str">
        <f>IF(A335="","",Summary_big_cities!U128)</f>
        <v/>
      </c>
      <c r="I335" s="3" t="str">
        <f>IF(A335="","",Summary_big_cities!V128)</f>
        <v/>
      </c>
      <c r="J335" s="2" t="str">
        <f>IF(A335="","",IF(Summary_big_cities!O128&lt;&gt;0,IF(ISERROR(SEARCH("LSA",Summary_big_cities!O128)=TRUE),IF(ISERROR(SEARCH("NA",Summary_big_cities!O128)=TRUE),"Sensitive","Normal"),"Less sensitive"),""))</f>
        <v/>
      </c>
    </row>
    <row r="336" spans="1:10" x14ac:dyDescent="0.2">
      <c r="A336" s="6" t="str">
        <f>IF(Summary_big_cities!B129&lt;&gt;0,Summary_big_cities!B129,IF(Summary_big_cities!S129&lt;&gt;0,Summary_big_cities!S129,""))</f>
        <v/>
      </c>
      <c r="B336" s="6" t="str">
        <f>IF(A336="","",IF(Summary_big_cities!A129&lt;&gt;0,Summary_big_cities!A129,Summary_big_cities!R129))</f>
        <v/>
      </c>
      <c r="C336" s="5" t="str">
        <f>IF(A336="","",Summary_big_cities!C129)</f>
        <v/>
      </c>
      <c r="D336" s="5" t="str">
        <f>IF(A336="","",Summary_big_cities!E129)</f>
        <v/>
      </c>
      <c r="E336" s="5" t="str">
        <f>IF(A336="","",Summary_big_cities!G129)</f>
        <v/>
      </c>
      <c r="F336" s="4" t="str">
        <f>IF(A336="","",Summary_big_cities!F129)</f>
        <v/>
      </c>
      <c r="G336" s="3" t="str">
        <f>IF(A336="","",Summary_big_cities!T129)</f>
        <v/>
      </c>
      <c r="H336" s="3" t="str">
        <f>IF(A336="","",Summary_big_cities!U129)</f>
        <v/>
      </c>
      <c r="I336" s="3" t="str">
        <f>IF(A336="","",Summary_big_cities!V129)</f>
        <v/>
      </c>
      <c r="J336" s="2" t="str">
        <f>IF(A336="","",IF(Summary_big_cities!O129&lt;&gt;0,IF(ISERROR(SEARCH("LSA",Summary_big_cities!O129)=TRUE),IF(ISERROR(SEARCH("NA",Summary_big_cities!O129)=TRUE),"Sensitive","Normal"),"Less sensitive"),""))</f>
        <v/>
      </c>
    </row>
    <row r="337" spans="1:10" x14ac:dyDescent="0.2">
      <c r="A337" s="6" t="str">
        <f>IF(Summary_big_cities!B130&lt;&gt;0,Summary_big_cities!B130,IF(Summary_big_cities!S130&lt;&gt;0,Summary_big_cities!S130,""))</f>
        <v/>
      </c>
      <c r="B337" s="6" t="str">
        <f>IF(A337="","",IF(Summary_big_cities!A130&lt;&gt;0,Summary_big_cities!A130,Summary_big_cities!R130))</f>
        <v/>
      </c>
      <c r="C337" s="5" t="str">
        <f>IF(A337="","",Summary_big_cities!C130)</f>
        <v/>
      </c>
      <c r="D337" s="5" t="str">
        <f>IF(A337="","",Summary_big_cities!E130)</f>
        <v/>
      </c>
      <c r="E337" s="5" t="str">
        <f>IF(A337="","",Summary_big_cities!G130)</f>
        <v/>
      </c>
      <c r="F337" s="4" t="str">
        <f>IF(A337="","",Summary_big_cities!F130)</f>
        <v/>
      </c>
      <c r="G337" s="3" t="str">
        <f>IF(A337="","",Summary_big_cities!T130)</f>
        <v/>
      </c>
      <c r="H337" s="3" t="str">
        <f>IF(A337="","",Summary_big_cities!U130)</f>
        <v/>
      </c>
      <c r="I337" s="3" t="str">
        <f>IF(A337="","",Summary_big_cities!V130)</f>
        <v/>
      </c>
      <c r="J337" s="2" t="str">
        <f>IF(A337="","",IF(Summary_big_cities!O130&lt;&gt;0,IF(ISERROR(SEARCH("LSA",Summary_big_cities!O130)=TRUE),IF(ISERROR(SEARCH("NA",Summary_big_cities!O130)=TRUE),"Sensitive","Normal"),"Less sensitive"),""))</f>
        <v/>
      </c>
    </row>
    <row r="338" spans="1:10" x14ac:dyDescent="0.2">
      <c r="A338" s="6" t="str">
        <f>IF(Summary_big_cities!B131&lt;&gt;0,Summary_big_cities!B131,IF(Summary_big_cities!S131&lt;&gt;0,Summary_big_cities!S131,""))</f>
        <v/>
      </c>
      <c r="B338" s="6" t="str">
        <f>IF(A338="","",IF(Summary_big_cities!A131&lt;&gt;0,Summary_big_cities!A131,Summary_big_cities!R131))</f>
        <v/>
      </c>
      <c r="C338" s="5" t="str">
        <f>IF(A338="","",Summary_big_cities!C131)</f>
        <v/>
      </c>
      <c r="D338" s="5" t="str">
        <f>IF(A338="","",Summary_big_cities!E131)</f>
        <v/>
      </c>
      <c r="E338" s="5" t="str">
        <f>IF(A338="","",Summary_big_cities!G131)</f>
        <v/>
      </c>
      <c r="F338" s="4" t="str">
        <f>IF(A338="","",Summary_big_cities!F131)</f>
        <v/>
      </c>
      <c r="G338" s="3" t="str">
        <f>IF(A338="","",Summary_big_cities!T131)</f>
        <v/>
      </c>
      <c r="H338" s="3" t="str">
        <f>IF(A338="","",Summary_big_cities!U131)</f>
        <v/>
      </c>
      <c r="I338" s="3" t="str">
        <f>IF(A338="","",Summary_big_cities!V131)</f>
        <v/>
      </c>
      <c r="J338" s="2" t="str">
        <f>IF(A338="","",IF(Summary_big_cities!O131&lt;&gt;0,IF(ISERROR(SEARCH("LSA",Summary_big_cities!O131)=TRUE),IF(ISERROR(SEARCH("NA",Summary_big_cities!O131)=TRUE),"Sensitive","Normal"),"Less sensitive"),""))</f>
        <v/>
      </c>
    </row>
  </sheetData>
  <mergeCells count="26">
    <mergeCell ref="F155:H155"/>
    <mergeCell ref="I155:K155"/>
    <mergeCell ref="J210:J211"/>
    <mergeCell ref="L155:N155"/>
    <mergeCell ref="A210:A211"/>
    <mergeCell ref="B210:B211"/>
    <mergeCell ref="C210:C211"/>
    <mergeCell ref="D210:F210"/>
    <mergeCell ref="G210:I210"/>
    <mergeCell ref="A142:A143"/>
    <mergeCell ref="B142:C142"/>
    <mergeCell ref="D142:E142"/>
    <mergeCell ref="A155:C155"/>
    <mergeCell ref="D155:E155"/>
    <mergeCell ref="E40:G40"/>
    <mergeCell ref="A51:A53"/>
    <mergeCell ref="B51:D51"/>
    <mergeCell ref="A62:E62"/>
    <mergeCell ref="A65:A67"/>
    <mergeCell ref="A83:A85"/>
    <mergeCell ref="A87:A89"/>
    <mergeCell ref="A91:A93"/>
    <mergeCell ref="A40:A42"/>
    <mergeCell ref="B40:D40"/>
    <mergeCell ref="A69:A71"/>
    <mergeCell ref="A73:A7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0"/>
  <sheetViews>
    <sheetView tabSelected="1" topLeftCell="A25" workbookViewId="0">
      <selection activeCell="D35" sqref="D35"/>
    </sheetView>
  </sheetViews>
  <sheetFormatPr baseColWidth="10" defaultColWidth="10.88671875" defaultRowHeight="14.4" x14ac:dyDescent="0.3"/>
  <cols>
    <col min="1" max="1" width="14.33203125" customWidth="1"/>
    <col min="2" max="2" width="73.5546875" customWidth="1"/>
  </cols>
  <sheetData>
    <row r="1" spans="1:2" ht="56.4" customHeight="1" x14ac:dyDescent="0.55000000000000004">
      <c r="A1" s="193" t="s">
        <v>167</v>
      </c>
      <c r="B1" s="194"/>
    </row>
    <row r="3" spans="1:2" ht="28.8" x14ac:dyDescent="0.55000000000000004">
      <c r="A3" s="195" t="s">
        <v>129</v>
      </c>
      <c r="B3" s="196"/>
    </row>
    <row r="5" spans="1:2" ht="131.4" customHeight="1" x14ac:dyDescent="0.3">
      <c r="A5" s="197" t="s">
        <v>168</v>
      </c>
      <c r="B5" s="197"/>
    </row>
    <row r="7" spans="1:2" ht="28.8" x14ac:dyDescent="0.55000000000000004">
      <c r="A7" s="195" t="s">
        <v>169</v>
      </c>
      <c r="B7" s="196"/>
    </row>
    <row r="9" spans="1:2" ht="18" x14ac:dyDescent="0.35">
      <c r="A9" s="198" t="s">
        <v>170</v>
      </c>
      <c r="B9" s="199" t="s">
        <v>171</v>
      </c>
    </row>
    <row r="10" spans="1:2" s="202" customFormat="1" x14ac:dyDescent="0.3">
      <c r="A10" s="200">
        <v>1</v>
      </c>
      <c r="B10" s="201" t="s">
        <v>172</v>
      </c>
    </row>
    <row r="11" spans="1:2" s="202" customFormat="1" x14ac:dyDescent="0.3">
      <c r="A11" s="200">
        <v>2</v>
      </c>
      <c r="B11" s="201" t="s">
        <v>173</v>
      </c>
    </row>
    <row r="12" spans="1:2" s="202" customFormat="1" x14ac:dyDescent="0.3">
      <c r="A12" s="200" t="s">
        <v>174</v>
      </c>
      <c r="B12" s="201" t="s">
        <v>175</v>
      </c>
    </row>
    <row r="13" spans="1:2" s="202" customFormat="1" x14ac:dyDescent="0.3">
      <c r="A13" s="200" t="s">
        <v>176</v>
      </c>
      <c r="B13" s="201" t="s">
        <v>177</v>
      </c>
    </row>
    <row r="14" spans="1:2" s="202" customFormat="1" x14ac:dyDescent="0.3">
      <c r="A14" s="203" t="s">
        <v>178</v>
      </c>
      <c r="B14" s="204" t="s">
        <v>179</v>
      </c>
    </row>
    <row r="15" spans="1:2" s="202" customFormat="1" x14ac:dyDescent="0.3">
      <c r="A15" s="200" t="s">
        <v>180</v>
      </c>
      <c r="B15" s="204" t="s">
        <v>181</v>
      </c>
    </row>
    <row r="16" spans="1:2" s="202" customFormat="1" x14ac:dyDescent="0.3">
      <c r="A16" s="200" t="s">
        <v>182</v>
      </c>
      <c r="B16" s="204" t="s">
        <v>183</v>
      </c>
    </row>
    <row r="17" spans="1:2" s="202" customFormat="1" x14ac:dyDescent="0.3">
      <c r="A17" s="200" t="s">
        <v>184</v>
      </c>
      <c r="B17" s="201" t="s">
        <v>185</v>
      </c>
    </row>
    <row r="18" spans="1:2" s="202" customFormat="1" x14ac:dyDescent="0.3">
      <c r="A18" s="200" t="s">
        <v>186</v>
      </c>
      <c r="B18" s="201" t="s">
        <v>187</v>
      </c>
    </row>
    <row r="19" spans="1:2" s="202" customFormat="1" x14ac:dyDescent="0.3">
      <c r="A19" s="200" t="s">
        <v>188</v>
      </c>
      <c r="B19" s="201" t="s">
        <v>189</v>
      </c>
    </row>
    <row r="20" spans="1:2" s="202" customFormat="1" x14ac:dyDescent="0.3">
      <c r="A20" s="200" t="s">
        <v>190</v>
      </c>
      <c r="B20" s="201" t="s">
        <v>191</v>
      </c>
    </row>
    <row r="21" spans="1:2" s="202" customFormat="1" x14ac:dyDescent="0.3">
      <c r="A21" s="200" t="s">
        <v>192</v>
      </c>
      <c r="B21" s="201" t="s">
        <v>193</v>
      </c>
    </row>
    <row r="22" spans="1:2" s="202" customFormat="1" x14ac:dyDescent="0.3">
      <c r="A22" s="200" t="s">
        <v>194</v>
      </c>
      <c r="B22" s="201" t="s">
        <v>195</v>
      </c>
    </row>
    <row r="23" spans="1:2" s="202" customFormat="1" ht="28.8" x14ac:dyDescent="0.3">
      <c r="A23" s="200" t="s">
        <v>196</v>
      </c>
      <c r="B23" s="201" t="s">
        <v>197</v>
      </c>
    </row>
    <row r="24" spans="1:2" s="202" customFormat="1" x14ac:dyDescent="0.3">
      <c r="A24" s="200" t="s">
        <v>198</v>
      </c>
      <c r="B24" s="201" t="s">
        <v>199</v>
      </c>
    </row>
    <row r="25" spans="1:2" s="202" customFormat="1" x14ac:dyDescent="0.3">
      <c r="A25" s="200" t="s">
        <v>200</v>
      </c>
      <c r="B25" s="201" t="s">
        <v>201</v>
      </c>
    </row>
    <row r="26" spans="1:2" s="202" customFormat="1" x14ac:dyDescent="0.3">
      <c r="A26" s="200" t="s">
        <v>202</v>
      </c>
      <c r="B26" s="201" t="s">
        <v>203</v>
      </c>
    </row>
    <row r="27" spans="1:2" s="202" customFormat="1" x14ac:dyDescent="0.3">
      <c r="A27" s="200" t="s">
        <v>204</v>
      </c>
      <c r="B27" s="201" t="s">
        <v>205</v>
      </c>
    </row>
    <row r="28" spans="1:2" s="202" customFormat="1" x14ac:dyDescent="0.3">
      <c r="A28" s="200" t="s">
        <v>206</v>
      </c>
      <c r="B28" s="201" t="s">
        <v>207</v>
      </c>
    </row>
    <row r="29" spans="1:2" s="202" customFormat="1" x14ac:dyDescent="0.3">
      <c r="A29" s="200" t="s">
        <v>208</v>
      </c>
      <c r="B29" s="201" t="s">
        <v>209</v>
      </c>
    </row>
    <row r="30" spans="1:2" s="202" customFormat="1" x14ac:dyDescent="0.3">
      <c r="A30" s="200" t="s">
        <v>210</v>
      </c>
      <c r="B30" s="201" t="s">
        <v>211</v>
      </c>
    </row>
    <row r="31" spans="1:2" s="202" customFormat="1" x14ac:dyDescent="0.3">
      <c r="A31" s="200" t="s">
        <v>212</v>
      </c>
      <c r="B31" s="201" t="s">
        <v>213</v>
      </c>
    </row>
    <row r="32" spans="1:2" s="202" customFormat="1" x14ac:dyDescent="0.3">
      <c r="A32" s="200" t="s">
        <v>214</v>
      </c>
      <c r="B32" s="201" t="s">
        <v>215</v>
      </c>
    </row>
    <row r="33" spans="1:2" s="202" customFormat="1" x14ac:dyDescent="0.3">
      <c r="A33" s="200" t="s">
        <v>216</v>
      </c>
      <c r="B33" s="201" t="s">
        <v>217</v>
      </c>
    </row>
    <row r="34" spans="1:2" s="202" customFormat="1" x14ac:dyDescent="0.3">
      <c r="A34" s="200" t="s">
        <v>93</v>
      </c>
      <c r="B34" s="201" t="s">
        <v>218</v>
      </c>
    </row>
    <row r="35" spans="1:2" s="202" customFormat="1" x14ac:dyDescent="0.3">
      <c r="A35" s="200" t="s">
        <v>219</v>
      </c>
      <c r="B35" s="204" t="s">
        <v>220</v>
      </c>
    </row>
    <row r="36" spans="1:2" s="202" customFormat="1" x14ac:dyDescent="0.3">
      <c r="A36" s="200" t="s">
        <v>221</v>
      </c>
      <c r="B36" s="201" t="s">
        <v>222</v>
      </c>
    </row>
    <row r="37" spans="1:2" s="202" customFormat="1" x14ac:dyDescent="0.3">
      <c r="A37" s="200" t="s">
        <v>223</v>
      </c>
      <c r="B37" s="201" t="s">
        <v>224</v>
      </c>
    </row>
    <row r="38" spans="1:2" s="202" customFormat="1" x14ac:dyDescent="0.3">
      <c r="A38" s="200" t="s">
        <v>225</v>
      </c>
      <c r="B38" s="201" t="s">
        <v>226</v>
      </c>
    </row>
    <row r="39" spans="1:2" s="202" customFormat="1" x14ac:dyDescent="0.3">
      <c r="A39" s="200" t="s">
        <v>94</v>
      </c>
      <c r="B39" s="201" t="s">
        <v>227</v>
      </c>
    </row>
    <row r="40" spans="1:2" s="202" customFormat="1" ht="28.8" x14ac:dyDescent="0.3">
      <c r="A40" s="200" t="s">
        <v>228</v>
      </c>
      <c r="B40" s="201" t="s">
        <v>229</v>
      </c>
    </row>
    <row r="41" spans="1:2" s="202" customFormat="1" x14ac:dyDescent="0.3">
      <c r="A41" s="200" t="s">
        <v>230</v>
      </c>
      <c r="B41" s="201" t="s">
        <v>231</v>
      </c>
    </row>
    <row r="42" spans="1:2" s="202" customFormat="1" x14ac:dyDescent="0.3">
      <c r="A42" s="200" t="s">
        <v>232</v>
      </c>
      <c r="B42" s="201" t="s">
        <v>233</v>
      </c>
    </row>
    <row r="43" spans="1:2" s="202" customFormat="1" x14ac:dyDescent="0.3">
      <c r="A43" s="200" t="s">
        <v>234</v>
      </c>
      <c r="B43" s="201" t="s">
        <v>235</v>
      </c>
    </row>
    <row r="44" spans="1:2" s="202" customFormat="1" x14ac:dyDescent="0.3">
      <c r="A44" s="200" t="s">
        <v>236</v>
      </c>
      <c r="B44" s="201" t="s">
        <v>237</v>
      </c>
    </row>
    <row r="45" spans="1:2" s="202" customFormat="1" x14ac:dyDescent="0.3">
      <c r="A45" s="200" t="s">
        <v>238</v>
      </c>
      <c r="B45" s="201" t="s">
        <v>239</v>
      </c>
    </row>
    <row r="46" spans="1:2" s="202" customFormat="1" x14ac:dyDescent="0.3">
      <c r="A46" s="200" t="s">
        <v>240</v>
      </c>
      <c r="B46" s="201" t="s">
        <v>241</v>
      </c>
    </row>
    <row r="47" spans="1:2" s="202" customFormat="1" x14ac:dyDescent="0.3">
      <c r="A47" s="200" t="s">
        <v>242</v>
      </c>
      <c r="B47" s="201" t="s">
        <v>243</v>
      </c>
    </row>
    <row r="48" spans="1:2" s="202" customFormat="1" x14ac:dyDescent="0.3">
      <c r="A48" s="200" t="s">
        <v>244</v>
      </c>
      <c r="B48" s="201" t="s">
        <v>245</v>
      </c>
    </row>
    <row r="49" spans="1:2" s="202" customFormat="1" x14ac:dyDescent="0.3">
      <c r="A49" s="205" t="s">
        <v>246</v>
      </c>
      <c r="B49" s="206" t="s">
        <v>247</v>
      </c>
    </row>
    <row r="51" spans="1:2" ht="28.8" x14ac:dyDescent="0.55000000000000004">
      <c r="A51" s="207" t="s">
        <v>248</v>
      </c>
      <c r="B51" s="207"/>
    </row>
    <row r="52" spans="1:2" x14ac:dyDescent="0.3">
      <c r="A52" s="208"/>
      <c r="B52" s="209"/>
    </row>
    <row r="53" spans="1:2" ht="18" x14ac:dyDescent="0.3">
      <c r="A53" s="198" t="s">
        <v>249</v>
      </c>
      <c r="B53" s="198" t="s">
        <v>250</v>
      </c>
    </row>
    <row r="54" spans="1:2" ht="28.8" x14ac:dyDescent="0.3">
      <c r="A54" s="210" t="s">
        <v>251</v>
      </c>
      <c r="B54" s="211" t="s">
        <v>252</v>
      </c>
    </row>
    <row r="55" spans="1:2" ht="28.8" x14ac:dyDescent="0.3">
      <c r="A55" s="212" t="s">
        <v>253</v>
      </c>
      <c r="B55" s="211" t="s">
        <v>254</v>
      </c>
    </row>
    <row r="56" spans="1:2" ht="28.8" x14ac:dyDescent="0.3">
      <c r="A56" s="210" t="s">
        <v>255</v>
      </c>
      <c r="B56" s="213" t="s">
        <v>256</v>
      </c>
    </row>
    <row r="57" spans="1:2" ht="100.8" x14ac:dyDescent="0.3">
      <c r="A57" s="210" t="s">
        <v>257</v>
      </c>
      <c r="B57" s="213" t="s">
        <v>258</v>
      </c>
    </row>
    <row r="58" spans="1:2" ht="86.4" x14ac:dyDescent="0.3">
      <c r="A58" s="214" t="s">
        <v>259</v>
      </c>
      <c r="B58" s="215" t="s">
        <v>260</v>
      </c>
    </row>
    <row r="59" spans="1:2" x14ac:dyDescent="0.3">
      <c r="A59" s="214" t="s">
        <v>261</v>
      </c>
      <c r="B59" s="215" t="s">
        <v>262</v>
      </c>
    </row>
    <row r="60" spans="1:2" ht="57.6" x14ac:dyDescent="0.3">
      <c r="A60" s="189" t="s">
        <v>263</v>
      </c>
      <c r="B60" s="216" t="s">
        <v>264</v>
      </c>
    </row>
    <row r="61" spans="1:2" ht="129.6" x14ac:dyDescent="0.3">
      <c r="A61" s="189" t="s">
        <v>265</v>
      </c>
      <c r="B61" s="216" t="s">
        <v>266</v>
      </c>
    </row>
    <row r="62" spans="1:2" ht="72" x14ac:dyDescent="0.3">
      <c r="A62" s="189" t="s">
        <v>267</v>
      </c>
      <c r="B62" s="217" t="s">
        <v>268</v>
      </c>
    </row>
    <row r="63" spans="1:2" ht="43.2" x14ac:dyDescent="0.3">
      <c r="A63" s="189" t="s">
        <v>269</v>
      </c>
      <c r="B63" s="215" t="s">
        <v>270</v>
      </c>
    </row>
    <row r="64" spans="1:2" ht="43.2" x14ac:dyDescent="0.3">
      <c r="A64" s="189" t="s">
        <v>271</v>
      </c>
      <c r="B64" s="215" t="s">
        <v>272</v>
      </c>
    </row>
    <row r="65" spans="1:2" ht="115.2" x14ac:dyDescent="0.3">
      <c r="A65" s="189" t="s">
        <v>273</v>
      </c>
      <c r="B65" s="218" t="s">
        <v>274</v>
      </c>
    </row>
    <row r="66" spans="1:2" ht="57.6" x14ac:dyDescent="0.3">
      <c r="A66" s="189" t="s">
        <v>275</v>
      </c>
      <c r="B66" s="218" t="s">
        <v>276</v>
      </c>
    </row>
    <row r="67" spans="1:2" ht="244.8" x14ac:dyDescent="0.3">
      <c r="A67" s="189" t="s">
        <v>277</v>
      </c>
      <c r="B67" s="217" t="s">
        <v>278</v>
      </c>
    </row>
    <row r="68" spans="1:2" ht="244.8" x14ac:dyDescent="0.3">
      <c r="A68" s="189" t="s">
        <v>279</v>
      </c>
      <c r="B68" s="217" t="s">
        <v>280</v>
      </c>
    </row>
    <row r="69" spans="1:2" ht="43.2" x14ac:dyDescent="0.3">
      <c r="A69" s="189" t="s">
        <v>281</v>
      </c>
      <c r="B69" s="217" t="s">
        <v>282</v>
      </c>
    </row>
    <row r="70" spans="1:2" ht="43.2" x14ac:dyDescent="0.3">
      <c r="A70" s="189" t="s">
        <v>283</v>
      </c>
      <c r="B70" s="217" t="s">
        <v>284</v>
      </c>
    </row>
    <row r="71" spans="1:2" ht="57" customHeight="1" x14ac:dyDescent="0.3">
      <c r="A71" s="189" t="s">
        <v>285</v>
      </c>
      <c r="B71" s="217" t="s">
        <v>286</v>
      </c>
    </row>
    <row r="72" spans="1:2" ht="86.4" x14ac:dyDescent="0.3">
      <c r="A72" s="189" t="s">
        <v>287</v>
      </c>
      <c r="B72" s="217" t="s">
        <v>288</v>
      </c>
    </row>
    <row r="73" spans="1:2" ht="57.6" x14ac:dyDescent="0.3">
      <c r="A73" s="189" t="s">
        <v>289</v>
      </c>
      <c r="B73" s="217" t="s">
        <v>290</v>
      </c>
    </row>
    <row r="74" spans="1:2" ht="57.6" x14ac:dyDescent="0.3">
      <c r="A74" s="189" t="s">
        <v>291</v>
      </c>
      <c r="B74" s="217" t="s">
        <v>292</v>
      </c>
    </row>
    <row r="75" spans="1:2" ht="230.4" x14ac:dyDescent="0.3">
      <c r="A75" s="189" t="s">
        <v>293</v>
      </c>
      <c r="B75" s="190" t="s">
        <v>294</v>
      </c>
    </row>
    <row r="76" spans="1:2" ht="57.6" x14ac:dyDescent="0.3">
      <c r="A76" s="189" t="s">
        <v>295</v>
      </c>
      <c r="B76" s="219" t="s">
        <v>296</v>
      </c>
    </row>
    <row r="77" spans="1:2" ht="72" x14ac:dyDescent="0.3">
      <c r="A77" s="189" t="s">
        <v>297</v>
      </c>
      <c r="B77" s="219" t="s">
        <v>298</v>
      </c>
    </row>
    <row r="79" spans="1:2" ht="28.8" x14ac:dyDescent="0.55000000000000004">
      <c r="A79" s="195" t="s">
        <v>299</v>
      </c>
      <c r="B79" s="196"/>
    </row>
    <row r="81" spans="1:2" ht="18" x14ac:dyDescent="0.35">
      <c r="A81" s="220" t="s">
        <v>300</v>
      </c>
      <c r="B81" s="221" t="s">
        <v>301</v>
      </c>
    </row>
    <row r="82" spans="1:2" ht="43.2" x14ac:dyDescent="0.3">
      <c r="A82" s="189" t="s">
        <v>129</v>
      </c>
      <c r="B82" s="215" t="s">
        <v>130</v>
      </c>
    </row>
    <row r="83" spans="1:2" ht="43.2" x14ac:dyDescent="0.3">
      <c r="A83" s="189" t="s">
        <v>131</v>
      </c>
      <c r="B83" s="215" t="s">
        <v>132</v>
      </c>
    </row>
    <row r="84" spans="1:2" ht="72" x14ac:dyDescent="0.3">
      <c r="A84" s="189" t="s">
        <v>133</v>
      </c>
      <c r="B84" s="215" t="s">
        <v>134</v>
      </c>
    </row>
    <row r="85" spans="1:2" ht="57.6" x14ac:dyDescent="0.3">
      <c r="A85" s="214" t="s">
        <v>135</v>
      </c>
      <c r="B85" s="190" t="s">
        <v>136</v>
      </c>
    </row>
    <row r="86" spans="1:2" ht="72" x14ac:dyDescent="0.3">
      <c r="A86" s="189" t="s">
        <v>137</v>
      </c>
      <c r="B86" s="190" t="s">
        <v>138</v>
      </c>
    </row>
    <row r="87" spans="1:2" ht="43.2" x14ac:dyDescent="0.3">
      <c r="A87" s="189" t="s">
        <v>139</v>
      </c>
      <c r="B87" s="215" t="s">
        <v>140</v>
      </c>
    </row>
    <row r="88" spans="1:2" ht="86.4" x14ac:dyDescent="0.3">
      <c r="A88" s="189" t="s">
        <v>141</v>
      </c>
      <c r="B88" s="215" t="s">
        <v>142</v>
      </c>
    </row>
    <row r="89" spans="1:2" ht="86.4" x14ac:dyDescent="0.3">
      <c r="A89" s="189" t="s">
        <v>143</v>
      </c>
      <c r="B89" s="222" t="s">
        <v>144</v>
      </c>
    </row>
    <row r="90" spans="1:2" ht="72" x14ac:dyDescent="0.3">
      <c r="A90" s="189" t="s">
        <v>145</v>
      </c>
      <c r="B90" s="215" t="s">
        <v>146</v>
      </c>
    </row>
    <row r="91" spans="1:2" ht="129.6" x14ac:dyDescent="0.3">
      <c r="A91" s="189" t="s">
        <v>147</v>
      </c>
      <c r="B91" s="191" t="s">
        <v>148</v>
      </c>
    </row>
    <row r="92" spans="1:2" ht="28.8" x14ac:dyDescent="0.3">
      <c r="A92" s="189" t="s">
        <v>149</v>
      </c>
      <c r="B92" s="215" t="s">
        <v>150</v>
      </c>
    </row>
    <row r="93" spans="1:2" ht="115.2" x14ac:dyDescent="0.3">
      <c r="A93" s="189" t="s">
        <v>151</v>
      </c>
      <c r="B93" s="192" t="s">
        <v>152</v>
      </c>
    </row>
    <row r="94" spans="1:2" ht="28.8" x14ac:dyDescent="0.3">
      <c r="A94" s="189" t="s">
        <v>153</v>
      </c>
      <c r="B94" s="215" t="s">
        <v>154</v>
      </c>
    </row>
    <row r="95" spans="1:2" ht="28.8" x14ac:dyDescent="0.3">
      <c r="A95" s="189" t="s">
        <v>155</v>
      </c>
      <c r="B95" s="215" t="s">
        <v>156</v>
      </c>
    </row>
    <row r="96" spans="1:2" ht="28.8" x14ac:dyDescent="0.3">
      <c r="A96" s="189" t="s">
        <v>157</v>
      </c>
      <c r="B96" s="215" t="s">
        <v>158</v>
      </c>
    </row>
    <row r="97" spans="1:2" ht="28.8" x14ac:dyDescent="0.3">
      <c r="A97" s="189" t="s">
        <v>159</v>
      </c>
      <c r="B97" s="215" t="s">
        <v>160</v>
      </c>
    </row>
    <row r="98" spans="1:2" ht="43.2" x14ac:dyDescent="0.3">
      <c r="A98" s="189" t="s">
        <v>161</v>
      </c>
      <c r="B98" s="215" t="s">
        <v>162</v>
      </c>
    </row>
    <row r="99" spans="1:2" ht="43.2" x14ac:dyDescent="0.3">
      <c r="A99" s="189" t="s">
        <v>163</v>
      </c>
      <c r="B99" s="215" t="s">
        <v>164</v>
      </c>
    </row>
    <row r="100" spans="1:2" ht="43.2" x14ac:dyDescent="0.3">
      <c r="A100" s="189" t="s">
        <v>165</v>
      </c>
      <c r="B100" s="215" t="s">
        <v>166</v>
      </c>
    </row>
  </sheetData>
  <mergeCells count="6">
    <mergeCell ref="A1:B1"/>
    <mergeCell ref="A3:B3"/>
    <mergeCell ref="A5:B5"/>
    <mergeCell ref="A7:B7"/>
    <mergeCell ref="A51:B51"/>
    <mergeCell ref="A79:B79"/>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
  <sheetViews>
    <sheetView workbookViewId="0"/>
  </sheetViews>
  <sheetFormatPr baseColWidth="10"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
  <sheetViews>
    <sheetView workbookViewId="0">
      <selection activeCell="H38" sqref="H38"/>
    </sheetView>
  </sheetViews>
  <sheetFormatPr baseColWidth="10"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
  <sheetViews>
    <sheetView workbookViewId="0"/>
  </sheetViews>
  <sheetFormatPr baseColWidth="10"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
  <sheetViews>
    <sheetView workbookViewId="0"/>
  </sheetViews>
  <sheetFormatPr baseColWidth="10"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
  <sheetViews>
    <sheetView workbookViewId="0"/>
  </sheetViews>
  <sheetFormatPr baseColWidth="10"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
  <sheetViews>
    <sheetView workbookViewId="0">
      <selection activeCell="J39" sqref="J39"/>
    </sheetView>
  </sheetViews>
  <sheetFormatPr baseColWidth="10"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heetViews>
  <sheetFormatPr baseColWidth="10"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
  <sheetViews>
    <sheetView workbookViewId="0"/>
  </sheetViews>
  <sheetFormatPr baseColWidth="10"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heetViews>
  <sheetFormatPr baseColWidth="10"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
  <sheetViews>
    <sheetView workbookViewId="0"/>
  </sheetViews>
  <sheetFormatPr baseColWidth="10"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
  <sheetViews>
    <sheetView workbookViewId="0"/>
  </sheetViews>
  <sheetFormatPr baseColWidth="10"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
  <sheetViews>
    <sheetView workbookViewId="0"/>
  </sheetViews>
  <sheetFormatPr baseColWidth="10"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
  <sheetViews>
    <sheetView workbookViewId="0"/>
  </sheetViews>
  <sheetFormatPr baseColWidth="10"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
  <sheetViews>
    <sheetView topLeftCell="A9" workbookViewId="0"/>
  </sheetViews>
  <sheetFormatPr baseColWidth="10"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
  <sheetViews>
    <sheetView workbookViewId="0"/>
  </sheetViews>
  <sheetFormatPr baseColWidth="10"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
  <sheetViews>
    <sheetView workbookViewId="0"/>
  </sheetViews>
  <sheetFormatPr baseColWidth="10"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
  <sheetViews>
    <sheetView workbookViewId="0"/>
  </sheetViews>
  <sheetFormatPr baseColWidth="10" defaultRowHeight="14.4" x14ac:dyDescent="0.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
  <sheetViews>
    <sheetView workbookViewId="0"/>
  </sheetViews>
  <sheetFormatPr baseColWidth="10"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22</vt:i4>
      </vt:variant>
    </vt:vector>
  </HeadingPairs>
  <TitlesOfParts>
    <vt:vector size="22" baseType="lpstr">
      <vt:lpstr>Read me</vt:lpstr>
      <vt:lpstr>final graphs</vt:lpstr>
      <vt:lpstr>Register-introduction</vt:lpstr>
      <vt:lpstr>Glossary</vt:lpstr>
      <vt:lpstr>Information on sensitive area</vt:lpstr>
      <vt:lpstr>5(4)-areas</vt:lpstr>
      <vt:lpstr>SA-history</vt:lpstr>
      <vt:lpstr>UWWTP Level</vt:lpstr>
      <vt:lpstr>agglomeration level</vt:lpstr>
      <vt:lpstr>Agglomeration legal compliance</vt:lpstr>
      <vt:lpstr>Summary_legal_compliance</vt:lpstr>
      <vt:lpstr>distance to compliance</vt:lpstr>
      <vt:lpstr>Summary_installation_in_place</vt:lpstr>
      <vt:lpstr>breach_list</vt:lpstr>
      <vt:lpstr>Summary_big_cities</vt:lpstr>
      <vt:lpstr>Nuts2_level analyse</vt:lpstr>
      <vt:lpstr>sewage_sludge_and_re-use</vt:lpstr>
      <vt:lpstr>Graphs</vt:lpstr>
      <vt:lpstr>New agglomerations</vt:lpstr>
      <vt:lpstr>Agglomerationout</vt:lpstr>
      <vt:lpstr>New treatment plants</vt:lpstr>
      <vt:lpstr>UWWTPsout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SIIF Register Excel graph Sheets</dc:title>
  <dc:creator>Benoit FRIBOURG-BLANC;Nicolas DHUYGELAERE</dc:creator>
  <cp:keywords>SIIF</cp:keywords>
  <cp:lastModifiedBy>Nicolas DHUYGELAERE</cp:lastModifiedBy>
  <dcterms:created xsi:type="dcterms:W3CDTF">2020-12-03T13:12:41Z</dcterms:created>
  <dcterms:modified xsi:type="dcterms:W3CDTF">2022-02-09T17:24:57Z</dcterms:modified>
</cp:coreProperties>
</file>